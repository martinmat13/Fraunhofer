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jekte\02_Aktuell\ANSYS_Rocky\Fixed Bed Project\Files_Judith\"/>
    </mc:Choice>
  </mc:AlternateContent>
  <xr:revisionPtr revIDLastSave="0" documentId="13_ncr:1_{4FA4CE0D-334E-48E5-90C0-E08BDD4E673E}" xr6:coauthVersionLast="47" xr6:coauthVersionMax="47" xr10:uidLastSave="{00000000-0000-0000-0000-000000000000}"/>
  <bookViews>
    <workbookView xWindow="53880" yWindow="-120" windowWidth="25440" windowHeight="15270" activeTab="1" xr2:uid="{FA6844DE-E1AD-4D2C-8114-7B02EA65496A}"/>
  </bookViews>
  <sheets>
    <sheet name="Pressure loss" sheetId="1" r:id="rId1"/>
    <sheet name="Pressure loss_high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E44" i="2" l="1"/>
  <c r="E26" i="2"/>
  <c r="E50" i="2"/>
  <c r="K44" i="2"/>
  <c r="K50" i="2"/>
  <c r="K49" i="2"/>
  <c r="K48" i="2"/>
  <c r="K47" i="2"/>
  <c r="K46" i="2"/>
  <c r="K45" i="2"/>
  <c r="K43" i="2"/>
  <c r="E48" i="2"/>
  <c r="E47" i="2"/>
  <c r="E45" i="2"/>
  <c r="E46" i="2"/>
  <c r="E49" i="2"/>
  <c r="I19" i="2"/>
  <c r="E19" i="1"/>
  <c r="I20" i="2"/>
  <c r="C9" i="2" l="1"/>
  <c r="D20" i="2"/>
  <c r="J33" i="2"/>
  <c r="J39" i="2"/>
  <c r="J38" i="2"/>
  <c r="J37" i="2"/>
  <c r="J36" i="2"/>
  <c r="J35" i="2"/>
  <c r="J34" i="2"/>
  <c r="D38" i="2"/>
  <c r="D37" i="2"/>
  <c r="D36" i="2"/>
  <c r="D35" i="2"/>
  <c r="D34" i="2"/>
  <c r="D33" i="2"/>
  <c r="J20" i="2"/>
  <c r="J21" i="2"/>
  <c r="J26" i="2"/>
  <c r="J25" i="2"/>
  <c r="J24" i="2"/>
  <c r="J23" i="2"/>
  <c r="J22" i="2"/>
  <c r="D21" i="2"/>
  <c r="D22" i="2"/>
  <c r="D23" i="2"/>
  <c r="D24" i="2"/>
  <c r="D25" i="2"/>
  <c r="D26" i="2"/>
  <c r="I8" i="2"/>
  <c r="K20" i="2" s="1"/>
  <c r="I32" i="2" l="1"/>
  <c r="J29" i="2"/>
  <c r="I39" i="2"/>
  <c r="I38" i="2"/>
  <c r="I37" i="2"/>
  <c r="I36" i="2"/>
  <c r="I35" i="2"/>
  <c r="I34" i="2"/>
  <c r="I33" i="2"/>
  <c r="J16" i="2"/>
  <c r="I26" i="2"/>
  <c r="I25" i="2"/>
  <c r="I24" i="2"/>
  <c r="I23" i="2"/>
  <c r="I22" i="2"/>
  <c r="I21" i="2"/>
  <c r="I9" i="2"/>
  <c r="I10" i="2"/>
  <c r="I11" i="2"/>
  <c r="K36" i="2" s="1"/>
  <c r="I12" i="2"/>
  <c r="K37" i="2" s="1"/>
  <c r="I13" i="2"/>
  <c r="K25" i="2" s="1"/>
  <c r="I14" i="2"/>
  <c r="K26" i="2" s="1"/>
  <c r="I7" i="2"/>
  <c r="K7" i="2" s="1"/>
  <c r="C7" i="2"/>
  <c r="E7" i="2" s="1"/>
  <c r="D29" i="2"/>
  <c r="D16" i="2"/>
  <c r="C33" i="2"/>
  <c r="C34" i="2"/>
  <c r="E34" i="2" s="1"/>
  <c r="C35" i="2"/>
  <c r="E35" i="2" s="1"/>
  <c r="C36" i="2"/>
  <c r="C37" i="2"/>
  <c r="C38" i="2"/>
  <c r="C39" i="2"/>
  <c r="C32" i="2"/>
  <c r="E32" i="2" s="1"/>
  <c r="C26" i="2"/>
  <c r="C14" i="2"/>
  <c r="C19" i="2"/>
  <c r="C25" i="2"/>
  <c r="C24" i="2"/>
  <c r="C23" i="2"/>
  <c r="C22" i="2"/>
  <c r="C21" i="2"/>
  <c r="C20" i="2"/>
  <c r="C13" i="2"/>
  <c r="C12" i="2"/>
  <c r="C11" i="2"/>
  <c r="C10" i="2"/>
  <c r="C8" i="2"/>
  <c r="D28" i="1"/>
  <c r="D27" i="1"/>
  <c r="D15" i="1"/>
  <c r="D14" i="1"/>
  <c r="C6" i="1"/>
  <c r="E6" i="1" s="1"/>
  <c r="C24" i="1"/>
  <c r="C7" i="1"/>
  <c r="C8" i="1"/>
  <c r="C9" i="1"/>
  <c r="C10" i="1"/>
  <c r="C11" i="1"/>
  <c r="C12" i="1"/>
  <c r="C19" i="1"/>
  <c r="C20" i="1"/>
  <c r="C21" i="1"/>
  <c r="C22" i="1"/>
  <c r="C23" i="1"/>
  <c r="C18" i="1"/>
  <c r="C32" i="1"/>
  <c r="C33" i="1"/>
  <c r="C34" i="1"/>
  <c r="C35" i="1"/>
  <c r="C36" i="1"/>
  <c r="C37" i="1"/>
  <c r="C31" i="1"/>
  <c r="E36" i="2" l="1"/>
  <c r="K22" i="2"/>
  <c r="K24" i="2"/>
  <c r="E33" i="2"/>
  <c r="K35" i="2"/>
  <c r="E39" i="2"/>
  <c r="K34" i="2"/>
  <c r="E24" i="2"/>
  <c r="K33" i="2"/>
  <c r="E38" i="2"/>
  <c r="E25" i="2"/>
  <c r="E37" i="2"/>
  <c r="K12" i="2"/>
  <c r="K10" i="2"/>
  <c r="K32" i="2"/>
  <c r="K11" i="2"/>
  <c r="K9" i="2"/>
  <c r="K39" i="2"/>
  <c r="K23" i="2"/>
  <c r="K8" i="2"/>
  <c r="K38" i="2"/>
  <c r="K19" i="2"/>
  <c r="K14" i="2"/>
  <c r="K13" i="2"/>
  <c r="K21" i="2"/>
  <c r="E22" i="2"/>
  <c r="E9" i="2"/>
  <c r="E12" i="2"/>
  <c r="E19" i="2"/>
  <c r="E43" i="2" s="1"/>
  <c r="E14" i="2"/>
  <c r="E8" i="2"/>
  <c r="E23" i="2"/>
  <c r="E21" i="2"/>
  <c r="E20" i="2"/>
  <c r="E11" i="2"/>
  <c r="E13" i="2"/>
  <c r="E10" i="2"/>
  <c r="E20" i="1"/>
  <c r="E7" i="1"/>
  <c r="E18" i="1"/>
  <c r="E9" i="1"/>
  <c r="E22" i="1"/>
  <c r="E24" i="1"/>
  <c r="E31" i="1"/>
  <c r="E32" i="1"/>
  <c r="E11" i="1"/>
  <c r="E36" i="1"/>
  <c r="E23" i="1"/>
  <c r="E37" i="1"/>
  <c r="E21" i="1"/>
  <c r="E35" i="1"/>
  <c r="E34" i="1"/>
  <c r="E33" i="1"/>
  <c r="E8" i="1"/>
  <c r="E12" i="1"/>
  <c r="E10" i="1"/>
</calcChain>
</file>

<file path=xl/sharedStrings.xml><?xml version="1.0" encoding="utf-8"?>
<sst xmlns="http://schemas.openxmlformats.org/spreadsheetml/2006/main" count="81" uniqueCount="21">
  <si>
    <t>Hollow Cylinder</t>
  </si>
  <si>
    <t>Triobe</t>
  </si>
  <si>
    <t>V</t>
  </si>
  <si>
    <t>mbar</t>
  </si>
  <si>
    <t>Empty</t>
  </si>
  <si>
    <t>V / NmL/min</t>
  </si>
  <si>
    <t>Δp / mbar</t>
  </si>
  <si>
    <t>d/ cm</t>
  </si>
  <si>
    <t>cm</t>
  </si>
  <si>
    <t>g</t>
  </si>
  <si>
    <r>
      <t>cm</t>
    </r>
    <r>
      <rPr>
        <i/>
        <sz val="11"/>
        <color theme="1"/>
        <rFont val="Calibri"/>
        <family val="2"/>
      </rPr>
      <t>3</t>
    </r>
  </si>
  <si>
    <t>g/cm^3</t>
  </si>
  <si>
    <t>cm^3</t>
  </si>
  <si>
    <t>d/ cm_insert</t>
  </si>
  <si>
    <t>Trilobe</t>
  </si>
  <si>
    <t>MFR / kg/s</t>
  </si>
  <si>
    <t>rho</t>
  </si>
  <si>
    <t>kg/m^3</t>
  </si>
  <si>
    <t>T</t>
  </si>
  <si>
    <t>degC</t>
  </si>
  <si>
    <t>20 cm bed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</si>
</sst>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0" fontId="2" fillId="0" borderId="1" xfId="1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2" fillId="0" borderId="3" xfId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2">
    <cellStyle name="Default" xfId="1" xr:uid="{1B2135FF-A0F7-4D62-AA00-BE3D0A506868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Trilobe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xVal>
            <c:numRef>
              <c:f>'Pressure loss_highflow'!$A$19:$A$26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loss_highflow'!$E$19:$E$26</c:f>
              <c:numCache>
                <c:formatCode>General</c:formatCode>
                <c:ptCount val="8"/>
                <c:pt idx="0">
                  <c:v>0</c:v>
                </c:pt>
                <c:pt idx="1">
                  <c:v>0.42500000000000004</c:v>
                </c:pt>
                <c:pt idx="2">
                  <c:v>0.72500000000000009</c:v>
                </c:pt>
                <c:pt idx="3">
                  <c:v>1.5750000000000002</c:v>
                </c:pt>
                <c:pt idx="4">
                  <c:v>5.3000000000000007</c:v>
                </c:pt>
                <c:pt idx="5">
                  <c:v>16.375</c:v>
                </c:pt>
                <c:pt idx="6">
                  <c:v>58.4</c:v>
                </c:pt>
                <c:pt idx="7">
                  <c:v>116.125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18C-442D-969C-7E99A4EA576A}"/>
            </c:ext>
          </c:extLst>
        </c:ser>
        <c:ser>
          <c:idx val="1"/>
          <c:order val="1"/>
          <c:xVal>
            <c:numRef>
              <c:f>'Pressure loss_highflow'!$A$7:$A$14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loss_highflow'!$E$7:$E$14</c:f>
              <c:numCache>
                <c:formatCode>General</c:formatCode>
                <c:ptCount val="8"/>
                <c:pt idx="0">
                  <c:v>0</c:v>
                </c:pt>
                <c:pt idx="1">
                  <c:v>9.9999999999999922E-2</c:v>
                </c:pt>
                <c:pt idx="2">
                  <c:v>0.17499999999999999</c:v>
                </c:pt>
                <c:pt idx="3">
                  <c:v>0.40000000000000008</c:v>
                </c:pt>
                <c:pt idx="4">
                  <c:v>1.1500000000000001</c:v>
                </c:pt>
                <c:pt idx="5">
                  <c:v>3.0999999999999996</c:v>
                </c:pt>
                <c:pt idx="6">
                  <c:v>9.4000000000000021</c:v>
                </c:pt>
                <c:pt idx="7">
                  <c:v>17.925000000000001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8C-442D-969C-7E99A4EA576A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'Pressure loss_highflow'!$A$32:$A$39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loss_highflow'!$E$32:$E$39</c:f>
              <c:numCache>
                <c:formatCode>General</c:formatCode>
                <c:ptCount val="8"/>
                <c:pt idx="0">
                  <c:v>0</c:v>
                </c:pt>
                <c:pt idx="1">
                  <c:v>0.4</c:v>
                </c:pt>
                <c:pt idx="2">
                  <c:v>0.77499999999999991</c:v>
                </c:pt>
                <c:pt idx="3">
                  <c:v>2</c:v>
                </c:pt>
                <c:pt idx="4">
                  <c:v>7.85</c:v>
                </c:pt>
                <c:pt idx="5">
                  <c:v>23.950000000000003</c:v>
                </c:pt>
                <c:pt idx="6">
                  <c:v>75.149999999999977</c:v>
                </c:pt>
                <c:pt idx="7">
                  <c:v>139.375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18C-442D-969C-7E99A4EA5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656608"/>
        <c:axId val="1107655168"/>
      </c:scatterChart>
      <c:valAx>
        <c:axId val="110765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7655168"/>
        <c:crosses val="autoZero"/>
        <c:crossBetween val="midCat"/>
      </c:valAx>
      <c:valAx>
        <c:axId val="11076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76566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Hollow Cylinder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xVal>
            <c:numRef>
              <c:f>'Pressure loss_highflow'!$A$19:$A$26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loss_highflow'!$K$19:$K$26</c:f>
              <c:numCache>
                <c:formatCode>General</c:formatCode>
                <c:ptCount val="8"/>
                <c:pt idx="0">
                  <c:v>0</c:v>
                </c:pt>
                <c:pt idx="1">
                  <c:v>9.4999999999999918E-2</c:v>
                </c:pt>
                <c:pt idx="2">
                  <c:v>0.28249999999999997</c:v>
                </c:pt>
                <c:pt idx="3">
                  <c:v>0.87499999999999989</c:v>
                </c:pt>
                <c:pt idx="4">
                  <c:v>3.3750000000000004</c:v>
                </c:pt>
                <c:pt idx="5">
                  <c:v>10.324999999999999</c:v>
                </c:pt>
                <c:pt idx="6">
                  <c:v>32.699999999999996</c:v>
                </c:pt>
                <c:pt idx="7">
                  <c:v>60.924999999999983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6A-4883-8B9D-F55C81E62C9F}"/>
            </c:ext>
          </c:extLst>
        </c:ser>
        <c:ser>
          <c:idx val="1"/>
          <c:order val="1"/>
          <c:xVal>
            <c:numRef>
              <c:f>'Pressure loss_highflow'!$A$7:$A$14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loss_highflow'!$K$7:$K$14</c:f>
              <c:numCache>
                <c:formatCode>General</c:formatCode>
                <c:ptCount val="8"/>
                <c:pt idx="0">
                  <c:v>0</c:v>
                </c:pt>
                <c:pt idx="1">
                  <c:v>2.9999999999999971E-2</c:v>
                </c:pt>
                <c:pt idx="2">
                  <c:v>4.2499999999999982E-2</c:v>
                </c:pt>
                <c:pt idx="3">
                  <c:v>9.9999999999999978E-2</c:v>
                </c:pt>
                <c:pt idx="4">
                  <c:v>0.47499999999999998</c:v>
                </c:pt>
                <c:pt idx="5">
                  <c:v>1.375</c:v>
                </c:pt>
                <c:pt idx="6">
                  <c:v>4.45</c:v>
                </c:pt>
                <c:pt idx="7">
                  <c:v>8.6499999999999986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6A-4883-8B9D-F55C81E62C9F}"/>
            </c:ext>
          </c:extLst>
        </c:ser>
        <c:ser>
          <c:idx val="0"/>
          <c:order val="2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'Pressure loss_highflow'!$A$32:$A$39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loss_highflow'!$K$32:$K$39</c:f>
              <c:numCache>
                <c:formatCode>General</c:formatCode>
                <c:ptCount val="8"/>
                <c:pt idx="0">
                  <c:v>0</c:v>
                </c:pt>
                <c:pt idx="1">
                  <c:v>0.36999999999999994</c:v>
                </c:pt>
                <c:pt idx="2">
                  <c:v>0.70750000000000002</c:v>
                </c:pt>
                <c:pt idx="3">
                  <c:v>1.8250000000000002</c:v>
                </c:pt>
                <c:pt idx="4">
                  <c:v>6.9749999999999996</c:v>
                </c:pt>
                <c:pt idx="5">
                  <c:v>21.175000000000001</c:v>
                </c:pt>
                <c:pt idx="6">
                  <c:v>67.125</c:v>
                </c:pt>
                <c:pt idx="7">
                  <c:v>125.925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6A-4883-8B9D-F55C81E62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656608"/>
        <c:axId val="1107655168"/>
      </c:scatterChart>
      <c:valAx>
        <c:axId val="110765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7655168"/>
        <c:crosses val="autoZero"/>
        <c:crossBetween val="midCat"/>
      </c:valAx>
      <c:valAx>
        <c:axId val="11076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76566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26</xdr:row>
      <xdr:rowOff>127217</xdr:rowOff>
    </xdr:from>
    <xdr:to>
      <xdr:col>8</xdr:col>
      <xdr:colOff>314325</xdr:colOff>
      <xdr:row>41</xdr:row>
      <xdr:rowOff>180975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0B07F02-A4E2-5FC6-32B0-42015BCCD1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91" t="6562" r="24375" b="24479"/>
        <a:stretch/>
      </xdr:blipFill>
      <xdr:spPr bwMode="auto">
        <a:xfrm>
          <a:off x="4695825" y="5080217"/>
          <a:ext cx="2124075" cy="2911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514350</xdr:colOff>
      <xdr:row>13</xdr:row>
      <xdr:rowOff>95250</xdr:rowOff>
    </xdr:from>
    <xdr:to>
      <xdr:col>8</xdr:col>
      <xdr:colOff>212029</xdr:colOff>
      <xdr:row>25</xdr:row>
      <xdr:rowOff>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97368F2-A7AC-F521-FB99-E98655544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90" t="-192" r="15469" b="23202"/>
        <a:stretch/>
      </xdr:blipFill>
      <xdr:spPr bwMode="auto">
        <a:xfrm>
          <a:off x="4733925" y="2571750"/>
          <a:ext cx="1983679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4019</xdr:colOff>
      <xdr:row>3</xdr:row>
      <xdr:rowOff>51020</xdr:rowOff>
    </xdr:from>
    <xdr:to>
      <xdr:col>18</xdr:col>
      <xdr:colOff>4019</xdr:colOff>
      <xdr:row>17</xdr:row>
      <xdr:rowOff>136492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863BF0F-6E80-96A5-1147-C9EF9E507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27535</xdr:colOff>
      <xdr:row>18</xdr:row>
      <xdr:rowOff>130865</xdr:rowOff>
    </xdr:from>
    <xdr:to>
      <xdr:col>18</xdr:col>
      <xdr:colOff>27535</xdr:colOff>
      <xdr:row>33</xdr:row>
      <xdr:rowOff>16815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DB8F5DD-33AE-4C29-A32E-54F20D99F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934F-D4B7-4244-A046-58376CF789B4}">
  <dimension ref="A1:E37"/>
  <sheetViews>
    <sheetView topLeftCell="A16" workbookViewId="0">
      <selection activeCell="E19" sqref="E19"/>
    </sheetView>
  </sheetViews>
  <sheetFormatPr baseColWidth="10" defaultColWidth="11.453125" defaultRowHeight="14.5"/>
  <cols>
    <col min="1" max="1" width="17.54296875" customWidth="1"/>
  </cols>
  <sheetData>
    <row r="1" spans="1:5">
      <c r="B1" t="s">
        <v>2</v>
      </c>
      <c r="C1" t="s">
        <v>3</v>
      </c>
    </row>
    <row r="2" spans="1:5">
      <c r="B2">
        <v>10</v>
      </c>
      <c r="C2">
        <v>250</v>
      </c>
    </row>
    <row r="4" spans="1:5">
      <c r="A4" t="s">
        <v>4</v>
      </c>
      <c r="B4" t="s">
        <v>7</v>
      </c>
      <c r="C4">
        <v>1.62</v>
      </c>
    </row>
    <row r="5" spans="1:5">
      <c r="A5" t="s">
        <v>5</v>
      </c>
      <c r="B5" t="s">
        <v>2</v>
      </c>
      <c r="C5" t="s">
        <v>3</v>
      </c>
      <c r="E5" t="s">
        <v>6</v>
      </c>
    </row>
    <row r="6" spans="1:5">
      <c r="A6">
        <v>0</v>
      </c>
      <c r="B6">
        <v>1.6E-2</v>
      </c>
      <c r="C6">
        <f t="shared" ref="C6:C12" si="0">B6/$B$2*$C$2</f>
        <v>0.4</v>
      </c>
      <c r="E6">
        <f t="shared" ref="E6:E12" si="1">C6-$C$6</f>
        <v>0</v>
      </c>
    </row>
    <row r="7" spans="1:5">
      <c r="A7">
        <v>20</v>
      </c>
      <c r="B7">
        <v>1.6400000000000001E-2</v>
      </c>
      <c r="C7">
        <f t="shared" si="0"/>
        <v>0.41000000000000003</v>
      </c>
      <c r="E7">
        <f t="shared" si="1"/>
        <v>1.0000000000000009E-2</v>
      </c>
    </row>
    <row r="8" spans="1:5">
      <c r="A8">
        <v>50</v>
      </c>
      <c r="B8">
        <v>1.67E-2</v>
      </c>
      <c r="C8">
        <f t="shared" si="0"/>
        <v>0.41750000000000004</v>
      </c>
      <c r="E8">
        <f t="shared" si="1"/>
        <v>1.7500000000000016E-2</v>
      </c>
    </row>
    <row r="9" spans="1:5">
      <c r="A9">
        <v>100</v>
      </c>
      <c r="B9">
        <v>1.72E-2</v>
      </c>
      <c r="C9">
        <f t="shared" si="0"/>
        <v>0.43</v>
      </c>
      <c r="E9">
        <f t="shared" si="1"/>
        <v>2.9999999999999971E-2</v>
      </c>
    </row>
    <row r="10" spans="1:5">
      <c r="A10">
        <v>250</v>
      </c>
      <c r="B10">
        <v>1.9E-2</v>
      </c>
      <c r="C10">
        <f t="shared" si="0"/>
        <v>0.47499999999999998</v>
      </c>
      <c r="D10" s="1"/>
      <c r="E10">
        <f t="shared" si="1"/>
        <v>7.4999999999999956E-2</v>
      </c>
    </row>
    <row r="11" spans="1:5">
      <c r="A11">
        <v>400</v>
      </c>
      <c r="B11">
        <v>0.02</v>
      </c>
      <c r="C11">
        <f t="shared" si="0"/>
        <v>0.5</v>
      </c>
      <c r="D11" s="1"/>
      <c r="E11">
        <f t="shared" si="1"/>
        <v>9.9999999999999978E-2</v>
      </c>
    </row>
    <row r="12" spans="1:5">
      <c r="A12">
        <v>1000</v>
      </c>
      <c r="B12">
        <v>2.9000000000000001E-2</v>
      </c>
      <c r="C12">
        <f t="shared" si="0"/>
        <v>0.72500000000000009</v>
      </c>
      <c r="E12">
        <f t="shared" si="1"/>
        <v>0.32500000000000007</v>
      </c>
    </row>
    <row r="14" spans="1:5">
      <c r="A14" t="s">
        <v>0</v>
      </c>
      <c r="B14">
        <v>7.5</v>
      </c>
      <c r="C14" t="s">
        <v>8</v>
      </c>
      <c r="D14">
        <f>PI()/4*C4^2*B14</f>
        <v>15.458992050151977</v>
      </c>
      <c r="E14" t="s">
        <v>10</v>
      </c>
    </row>
    <row r="15" spans="1:5">
      <c r="B15">
        <v>8.0299999999999994</v>
      </c>
      <c r="C15" t="s">
        <v>9</v>
      </c>
      <c r="D15">
        <f>B15/D14</f>
        <v>0.51943878190435167</v>
      </c>
      <c r="E15" t="s">
        <v>11</v>
      </c>
    </row>
    <row r="17" spans="1:5">
      <c r="A17" t="s">
        <v>5</v>
      </c>
      <c r="B17" t="s">
        <v>2</v>
      </c>
      <c r="C17" t="s">
        <v>3</v>
      </c>
      <c r="E17" t="s">
        <v>6</v>
      </c>
    </row>
    <row r="18" spans="1:5">
      <c r="A18">
        <v>0</v>
      </c>
      <c r="B18">
        <v>1.6199999999999999E-2</v>
      </c>
      <c r="C18">
        <f t="shared" ref="C18:C24" si="2">B18/$B$2*$C$2</f>
        <v>0.40499999999999997</v>
      </c>
      <c r="E18">
        <f t="shared" ref="E18:E24" si="3">C18-C6</f>
        <v>4.9999999999999489E-3</v>
      </c>
    </row>
    <row r="19" spans="1:5">
      <c r="A19">
        <v>20</v>
      </c>
      <c r="B19">
        <v>1.66E-2</v>
      </c>
      <c r="C19">
        <f t="shared" si="2"/>
        <v>0.41499999999999998</v>
      </c>
      <c r="E19">
        <f>C19-C7</f>
        <v>4.9999999999999489E-3</v>
      </c>
    </row>
    <row r="20" spans="1:5">
      <c r="A20">
        <v>50</v>
      </c>
      <c r="B20">
        <v>1.7000000000000001E-2</v>
      </c>
      <c r="C20">
        <f t="shared" si="2"/>
        <v>0.42500000000000004</v>
      </c>
      <c r="E20">
        <f t="shared" si="3"/>
        <v>7.5000000000000067E-3</v>
      </c>
    </row>
    <row r="21" spans="1:5">
      <c r="A21">
        <v>100</v>
      </c>
      <c r="B21">
        <v>1.78E-2</v>
      </c>
      <c r="C21">
        <f t="shared" si="2"/>
        <v>0.44499999999999995</v>
      </c>
      <c r="E21">
        <f t="shared" si="3"/>
        <v>1.4999999999999958E-2</v>
      </c>
    </row>
    <row r="22" spans="1:5">
      <c r="A22">
        <v>250</v>
      </c>
      <c r="B22">
        <v>0.02</v>
      </c>
      <c r="C22">
        <f t="shared" si="2"/>
        <v>0.5</v>
      </c>
      <c r="E22">
        <f t="shared" si="3"/>
        <v>2.5000000000000022E-2</v>
      </c>
    </row>
    <row r="23" spans="1:5">
      <c r="A23">
        <v>400</v>
      </c>
      <c r="B23">
        <v>2.3E-2</v>
      </c>
      <c r="C23">
        <f t="shared" si="2"/>
        <v>0.57499999999999996</v>
      </c>
      <c r="E23">
        <f t="shared" si="3"/>
        <v>7.4999999999999956E-2</v>
      </c>
    </row>
    <row r="24" spans="1:5">
      <c r="A24">
        <v>1000</v>
      </c>
      <c r="B24">
        <v>3.5999999999999997E-2</v>
      </c>
      <c r="C24">
        <f t="shared" si="2"/>
        <v>0.9</v>
      </c>
      <c r="E24">
        <f t="shared" si="3"/>
        <v>0.17499999999999993</v>
      </c>
    </row>
    <row r="27" spans="1:5">
      <c r="A27" t="s">
        <v>1</v>
      </c>
      <c r="B27">
        <v>9.5</v>
      </c>
      <c r="C27" t="s">
        <v>8</v>
      </c>
      <c r="D27">
        <f>PI()/4*C4^2*B27</f>
        <v>19.581389930192504</v>
      </c>
      <c r="E27" t="s">
        <v>12</v>
      </c>
    </row>
    <row r="28" spans="1:5">
      <c r="B28">
        <v>10.244</v>
      </c>
      <c r="C28" t="s">
        <v>9</v>
      </c>
      <c r="D28">
        <f>B28/D27</f>
        <v>0.52314978847363625</v>
      </c>
      <c r="E28" t="s">
        <v>11</v>
      </c>
    </row>
    <row r="30" spans="1:5">
      <c r="A30" t="s">
        <v>5</v>
      </c>
      <c r="B30" t="s">
        <v>2</v>
      </c>
      <c r="C30" t="s">
        <v>3</v>
      </c>
      <c r="E30" t="s">
        <v>6</v>
      </c>
    </row>
    <row r="31" spans="1:5">
      <c r="A31">
        <v>0</v>
      </c>
      <c r="B31">
        <v>1.6299999999999999E-2</v>
      </c>
      <c r="C31">
        <f t="shared" ref="C31:C37" si="4">B31/$B$2*$C$2</f>
        <v>0.40749999999999997</v>
      </c>
      <c r="E31">
        <f t="shared" ref="E31:E37" si="5">C31-C6</f>
        <v>7.4999999999999512E-3</v>
      </c>
    </row>
    <row r="32" spans="1:5">
      <c r="A32">
        <v>20</v>
      </c>
      <c r="B32">
        <v>1.66E-2</v>
      </c>
      <c r="C32">
        <f t="shared" si="4"/>
        <v>0.41499999999999998</v>
      </c>
      <c r="E32">
        <f t="shared" si="5"/>
        <v>4.9999999999999489E-3</v>
      </c>
    </row>
    <row r="33" spans="1:5">
      <c r="A33">
        <v>50</v>
      </c>
      <c r="B33">
        <v>1.72E-2</v>
      </c>
      <c r="C33">
        <f t="shared" si="4"/>
        <v>0.43</v>
      </c>
      <c r="E33">
        <f t="shared" si="5"/>
        <v>1.2499999999999956E-2</v>
      </c>
    </row>
    <row r="34" spans="1:5">
      <c r="A34">
        <v>100</v>
      </c>
      <c r="B34">
        <v>1.8200000000000001E-2</v>
      </c>
      <c r="C34">
        <f t="shared" si="4"/>
        <v>0.45500000000000002</v>
      </c>
      <c r="E34">
        <f t="shared" si="5"/>
        <v>2.5000000000000022E-2</v>
      </c>
    </row>
    <row r="35" spans="1:5">
      <c r="A35">
        <v>250</v>
      </c>
      <c r="B35">
        <v>2.1000000000000001E-2</v>
      </c>
      <c r="C35">
        <f t="shared" si="4"/>
        <v>0.52500000000000002</v>
      </c>
      <c r="E35">
        <f t="shared" si="5"/>
        <v>5.0000000000000044E-2</v>
      </c>
    </row>
    <row r="36" spans="1:5">
      <c r="A36">
        <v>400</v>
      </c>
      <c r="B36">
        <v>2.3800000000000002E-2</v>
      </c>
      <c r="C36">
        <f t="shared" si="4"/>
        <v>0.59500000000000008</v>
      </c>
      <c r="E36">
        <f t="shared" si="5"/>
        <v>9.5000000000000084E-2</v>
      </c>
    </row>
    <row r="37" spans="1:5">
      <c r="A37">
        <v>1000</v>
      </c>
      <c r="B37">
        <v>3.7999999999999999E-2</v>
      </c>
      <c r="C37">
        <f t="shared" si="4"/>
        <v>0.95</v>
      </c>
      <c r="E37">
        <f t="shared" si="5"/>
        <v>0.22499999999999987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7EE2-4BBC-498E-A7E7-74F371DBFFAE}">
  <dimension ref="A1:K50"/>
  <sheetViews>
    <sheetView tabSelected="1" topLeftCell="A19" zoomScale="130" zoomScaleNormal="130" workbookViewId="0">
      <selection activeCell="D39" sqref="D39"/>
    </sheetView>
  </sheetViews>
  <sheetFormatPr baseColWidth="10" defaultColWidth="11.453125" defaultRowHeight="14.5"/>
  <cols>
    <col min="1" max="1" width="17.54296875" customWidth="1"/>
    <col min="4" max="4" width="12.54296875" bestFit="1" customWidth="1"/>
    <col min="5" max="5" width="12.1796875" customWidth="1"/>
    <col min="10" max="10" width="12.54296875" bestFit="1" customWidth="1"/>
    <col min="14" max="14" width="16.54296875" customWidth="1"/>
  </cols>
  <sheetData>
    <row r="1" spans="1:11">
      <c r="A1" s="8"/>
      <c r="B1" s="8" t="s">
        <v>2</v>
      </c>
      <c r="C1" s="8" t="s">
        <v>3</v>
      </c>
      <c r="D1" s="8"/>
      <c r="E1" s="8" t="s">
        <v>7</v>
      </c>
      <c r="F1" s="8">
        <v>1.5</v>
      </c>
      <c r="G1" s="8"/>
      <c r="H1" s="8" t="s">
        <v>18</v>
      </c>
      <c r="I1" s="8">
        <v>20</v>
      </c>
      <c r="J1" s="8" t="s">
        <v>19</v>
      </c>
      <c r="K1" s="2"/>
    </row>
    <row r="2" spans="1:11">
      <c r="A2" s="8"/>
      <c r="B2" s="8">
        <v>10</v>
      </c>
      <c r="C2" s="8">
        <v>250</v>
      </c>
      <c r="D2" s="8"/>
      <c r="E2" s="8" t="s">
        <v>13</v>
      </c>
      <c r="F2" s="8">
        <v>0.38</v>
      </c>
      <c r="G2" s="8"/>
      <c r="H2" s="8" t="s">
        <v>16</v>
      </c>
      <c r="I2" s="8">
        <v>1.1508</v>
      </c>
      <c r="J2" s="8" t="s">
        <v>17</v>
      </c>
      <c r="K2" s="2"/>
    </row>
    <row r="4" spans="1:11">
      <c r="A4" s="9" t="s">
        <v>4</v>
      </c>
      <c r="B4" s="9"/>
      <c r="C4" s="9"/>
      <c r="D4" s="9"/>
      <c r="E4" s="9"/>
      <c r="F4" s="9"/>
      <c r="G4" s="9" t="s">
        <v>4</v>
      </c>
      <c r="H4" s="9"/>
      <c r="I4" s="9"/>
      <c r="J4" s="9"/>
      <c r="K4" s="9"/>
    </row>
    <row r="6" spans="1:11">
      <c r="A6" s="2" t="s">
        <v>5</v>
      </c>
      <c r="B6" s="2" t="s">
        <v>2</v>
      </c>
      <c r="C6" s="2" t="s">
        <v>3</v>
      </c>
      <c r="D6" s="2"/>
      <c r="E6" s="2" t="s">
        <v>6</v>
      </c>
      <c r="G6" s="2" t="s">
        <v>5</v>
      </c>
      <c r="H6" s="2" t="s">
        <v>2</v>
      </c>
      <c r="I6" s="2" t="s">
        <v>3</v>
      </c>
      <c r="J6" s="2"/>
      <c r="K6" s="2" t="s">
        <v>6</v>
      </c>
    </row>
    <row r="7" spans="1:11">
      <c r="A7" s="2">
        <v>0</v>
      </c>
      <c r="B7" s="2">
        <v>1.7999999999999999E-2</v>
      </c>
      <c r="C7" s="2">
        <f>B7/$B$2*$C$2</f>
        <v>0.45</v>
      </c>
      <c r="D7" s="2"/>
      <c r="E7" s="2">
        <f>C7-$C$7</f>
        <v>0</v>
      </c>
      <c r="G7" s="2">
        <v>0</v>
      </c>
      <c r="H7" s="3">
        <v>1.7000000000000001E-2</v>
      </c>
      <c r="I7" s="2">
        <f>H7/$B$2*$C$2</f>
        <v>0.42500000000000004</v>
      </c>
      <c r="J7" s="2"/>
      <c r="K7" s="2">
        <f t="shared" ref="K7:K14" si="0">I7-$I$7</f>
        <v>0</v>
      </c>
    </row>
    <row r="8" spans="1:11">
      <c r="A8" s="2">
        <v>600</v>
      </c>
      <c r="B8" s="2">
        <v>2.1999999999999999E-2</v>
      </c>
      <c r="C8" s="2">
        <f t="shared" ref="C8:C13" si="1">B8/$B$2*$C$2</f>
        <v>0.54999999999999993</v>
      </c>
      <c r="D8" s="2"/>
      <c r="E8" s="2">
        <f t="shared" ref="E8:E14" si="2">C8-$C$7</f>
        <v>9.9999999999999922E-2</v>
      </c>
      <c r="G8" s="2">
        <v>600</v>
      </c>
      <c r="H8" s="3">
        <v>1.8200000000000001E-2</v>
      </c>
      <c r="I8" s="2">
        <f>H8/$B$2*$C$2</f>
        <v>0.45500000000000002</v>
      </c>
      <c r="J8" s="2"/>
      <c r="K8" s="2">
        <f t="shared" si="0"/>
        <v>2.9999999999999971E-2</v>
      </c>
    </row>
    <row r="9" spans="1:11">
      <c r="A9" s="2">
        <v>1000</v>
      </c>
      <c r="B9" s="2">
        <v>2.5000000000000001E-2</v>
      </c>
      <c r="C9" s="2">
        <f>B9/$B$2*$C$2</f>
        <v>0.625</v>
      </c>
      <c r="D9" s="2"/>
      <c r="E9" s="2">
        <f t="shared" si="2"/>
        <v>0.17499999999999999</v>
      </c>
      <c r="G9" s="2">
        <v>1000</v>
      </c>
      <c r="H9" s="3">
        <v>1.8700000000000001E-2</v>
      </c>
      <c r="I9" s="2">
        <f t="shared" ref="I9:I14" si="3">H9/$B$2*$C$2</f>
        <v>0.46750000000000003</v>
      </c>
      <c r="J9" s="2"/>
      <c r="K9" s="2">
        <f t="shared" si="0"/>
        <v>4.2499999999999982E-2</v>
      </c>
    </row>
    <row r="10" spans="1:11">
      <c r="A10" s="2">
        <v>2000</v>
      </c>
      <c r="B10" s="2">
        <v>3.4000000000000002E-2</v>
      </c>
      <c r="C10" s="2">
        <f t="shared" si="1"/>
        <v>0.85000000000000009</v>
      </c>
      <c r="D10" s="2"/>
      <c r="E10" s="2">
        <f t="shared" si="2"/>
        <v>0.40000000000000008</v>
      </c>
      <c r="G10" s="2">
        <v>2000</v>
      </c>
      <c r="H10" s="3">
        <v>2.1000000000000001E-2</v>
      </c>
      <c r="I10" s="2">
        <f t="shared" si="3"/>
        <v>0.52500000000000002</v>
      </c>
      <c r="J10" s="2"/>
      <c r="K10" s="2">
        <f t="shared" si="0"/>
        <v>9.9999999999999978E-2</v>
      </c>
    </row>
    <row r="11" spans="1:11">
      <c r="A11" s="2">
        <v>5000</v>
      </c>
      <c r="B11" s="2">
        <v>6.4000000000000001E-2</v>
      </c>
      <c r="C11" s="2">
        <f t="shared" si="1"/>
        <v>1.6</v>
      </c>
      <c r="D11" s="4"/>
      <c r="E11" s="2">
        <f t="shared" si="2"/>
        <v>1.1500000000000001</v>
      </c>
      <c r="G11" s="2">
        <v>5000</v>
      </c>
      <c r="H11" s="3">
        <v>3.5999999999999997E-2</v>
      </c>
      <c r="I11" s="2">
        <f t="shared" si="3"/>
        <v>0.9</v>
      </c>
      <c r="J11" s="2"/>
      <c r="K11" s="2">
        <f t="shared" si="0"/>
        <v>0.47499999999999998</v>
      </c>
    </row>
    <row r="12" spans="1:11">
      <c r="A12" s="2">
        <v>10000</v>
      </c>
      <c r="B12" s="2">
        <v>0.14199999999999999</v>
      </c>
      <c r="C12" s="2">
        <f t="shared" si="1"/>
        <v>3.55</v>
      </c>
      <c r="D12" s="4"/>
      <c r="E12" s="2">
        <f t="shared" si="2"/>
        <v>3.0999999999999996</v>
      </c>
      <c r="G12" s="2">
        <v>10000</v>
      </c>
      <c r="H12" s="3">
        <v>7.1999999999999995E-2</v>
      </c>
      <c r="I12" s="2">
        <f t="shared" si="3"/>
        <v>1.8</v>
      </c>
      <c r="J12" s="2"/>
      <c r="K12" s="2">
        <f t="shared" si="0"/>
        <v>1.375</v>
      </c>
    </row>
    <row r="13" spans="1:11">
      <c r="A13" s="2">
        <v>20000</v>
      </c>
      <c r="B13" s="2">
        <v>0.39400000000000002</v>
      </c>
      <c r="C13" s="2">
        <f t="shared" si="1"/>
        <v>9.8500000000000014</v>
      </c>
      <c r="D13" s="2"/>
      <c r="E13" s="2">
        <f t="shared" si="2"/>
        <v>9.4000000000000021</v>
      </c>
      <c r="G13" s="2">
        <v>20000</v>
      </c>
      <c r="H13" s="3">
        <v>0.19500000000000001</v>
      </c>
      <c r="I13" s="2">
        <f t="shared" si="3"/>
        <v>4.875</v>
      </c>
      <c r="J13" s="2"/>
      <c r="K13" s="2">
        <f t="shared" si="0"/>
        <v>4.45</v>
      </c>
    </row>
    <row r="14" spans="1:11">
      <c r="A14" s="2">
        <v>30000</v>
      </c>
      <c r="B14" s="2">
        <v>0.73499999999999999</v>
      </c>
      <c r="C14" s="2">
        <f>B14/$B$2*$C$2</f>
        <v>18.375</v>
      </c>
      <c r="D14" s="2"/>
      <c r="E14" s="2">
        <f t="shared" si="2"/>
        <v>17.925000000000001</v>
      </c>
      <c r="G14" s="2">
        <v>30000</v>
      </c>
      <c r="H14" s="3">
        <v>0.36299999999999999</v>
      </c>
      <c r="I14" s="2">
        <f t="shared" si="3"/>
        <v>9.0749999999999993</v>
      </c>
      <c r="J14" s="2"/>
      <c r="K14" s="2">
        <f t="shared" si="0"/>
        <v>8.6499999999999986</v>
      </c>
    </row>
    <row r="16" spans="1:11">
      <c r="A16" s="9" t="s">
        <v>14</v>
      </c>
      <c r="B16" s="9">
        <v>10</v>
      </c>
      <c r="C16" s="9" t="s">
        <v>8</v>
      </c>
      <c r="D16" s="9">
        <f>(PI()/4*F1^2-PI()/4*F2^2)*B16</f>
        <v>16.537343728496673</v>
      </c>
      <c r="E16" s="9" t="s">
        <v>12</v>
      </c>
      <c r="F16" s="9"/>
      <c r="G16" s="9" t="s">
        <v>0</v>
      </c>
      <c r="H16" s="9">
        <v>10</v>
      </c>
      <c r="I16" s="9" t="s">
        <v>8</v>
      </c>
      <c r="J16" s="9">
        <f>(PI()/4*F1^2-PI()/4*F2^2)*H16</f>
        <v>16.537343728496673</v>
      </c>
      <c r="K16" s="9" t="s">
        <v>12</v>
      </c>
    </row>
    <row r="18" spans="1:11">
      <c r="A18" s="2" t="s">
        <v>5</v>
      </c>
      <c r="B18" s="2" t="s">
        <v>2</v>
      </c>
      <c r="C18" s="2" t="s">
        <v>3</v>
      </c>
      <c r="D18" s="5" t="s">
        <v>15</v>
      </c>
      <c r="E18" s="2" t="s">
        <v>6</v>
      </c>
      <c r="G18" s="2" t="s">
        <v>5</v>
      </c>
      <c r="H18" s="6" t="s">
        <v>2</v>
      </c>
      <c r="I18" s="2" t="s">
        <v>3</v>
      </c>
      <c r="J18" s="5" t="s">
        <v>15</v>
      </c>
      <c r="K18" s="2" t="s">
        <v>6</v>
      </c>
    </row>
    <row r="19" spans="1:11">
      <c r="A19" s="2">
        <v>0</v>
      </c>
      <c r="B19" s="2">
        <v>1.7999999999999999E-2</v>
      </c>
      <c r="C19" s="2">
        <f t="shared" ref="C19:C26" si="4">B19/$B$2*$C$2</f>
        <v>0.45</v>
      </c>
      <c r="D19" s="5"/>
      <c r="E19" s="2">
        <f t="shared" ref="E19:E25" si="5">C19-C7</f>
        <v>0</v>
      </c>
      <c r="G19" s="2">
        <v>0</v>
      </c>
      <c r="H19" s="7">
        <v>1.7000000000000001E-2</v>
      </c>
      <c r="I19" s="2">
        <f>H19/$B$2*$C$2</f>
        <v>0.42500000000000004</v>
      </c>
      <c r="J19" s="5"/>
      <c r="K19" s="2">
        <f t="shared" ref="K19:K26" si="6">I19-I7</f>
        <v>0</v>
      </c>
    </row>
    <row r="20" spans="1:11">
      <c r="A20" s="2">
        <v>600</v>
      </c>
      <c r="B20" s="2">
        <v>3.9E-2</v>
      </c>
      <c r="C20" s="2">
        <f t="shared" si="4"/>
        <v>0.97499999999999998</v>
      </c>
      <c r="D20" s="5">
        <f>G20/273.15*($I$1+273.15)*0.0000000166666*$I$2</f>
        <v>1.2350564545924218E-5</v>
      </c>
      <c r="E20" s="2">
        <f t="shared" si="5"/>
        <v>0.42500000000000004</v>
      </c>
      <c r="G20" s="2">
        <v>600</v>
      </c>
      <c r="H20" s="7">
        <v>2.1999999999999999E-2</v>
      </c>
      <c r="I20" s="2">
        <f>H20/$B$2*$C$2</f>
        <v>0.54999999999999993</v>
      </c>
      <c r="J20" s="5">
        <f>G20/273.15*($I$1+273.15)*0.0000000166666*$I$2</f>
        <v>1.2350564545924218E-5</v>
      </c>
      <c r="K20" s="2">
        <f>I20-I8</f>
        <v>9.4999999999999918E-2</v>
      </c>
    </row>
    <row r="21" spans="1:11">
      <c r="A21" s="2">
        <v>1000</v>
      </c>
      <c r="B21" s="2">
        <v>5.3999999999999999E-2</v>
      </c>
      <c r="C21" s="2">
        <f t="shared" si="4"/>
        <v>1.35</v>
      </c>
      <c r="D21" s="5">
        <f t="shared" ref="D21:D26" si="7">A21/273.15*($I$1+273.15)*0.0000000166666*$I$2</f>
        <v>2.058427424320703E-5</v>
      </c>
      <c r="E21" s="2">
        <f t="shared" si="5"/>
        <v>0.72500000000000009</v>
      </c>
      <c r="G21" s="2">
        <v>1000</v>
      </c>
      <c r="H21" s="7">
        <v>0.03</v>
      </c>
      <c r="I21" s="2">
        <f t="shared" ref="I21:I26" si="8">H21/$B$2*$C$2</f>
        <v>0.75</v>
      </c>
      <c r="J21" s="5">
        <f>G21/273.15*($I$1+273.15)*0.0000000166666*$I$2</f>
        <v>2.058427424320703E-5</v>
      </c>
      <c r="K21" s="2">
        <f t="shared" si="6"/>
        <v>0.28249999999999997</v>
      </c>
    </row>
    <row r="22" spans="1:11">
      <c r="A22" s="2">
        <v>2000</v>
      </c>
      <c r="B22" s="2">
        <v>9.7000000000000003E-2</v>
      </c>
      <c r="C22" s="2">
        <f t="shared" si="4"/>
        <v>2.4250000000000003</v>
      </c>
      <c r="D22" s="5">
        <f t="shared" si="7"/>
        <v>4.1168548486414059E-5</v>
      </c>
      <c r="E22" s="2">
        <f t="shared" si="5"/>
        <v>1.5750000000000002</v>
      </c>
      <c r="G22" s="2">
        <v>2000</v>
      </c>
      <c r="H22" s="7">
        <v>5.6000000000000001E-2</v>
      </c>
      <c r="I22" s="2">
        <f t="shared" si="8"/>
        <v>1.4</v>
      </c>
      <c r="J22" s="5">
        <f t="shared" ref="J22:J26" si="9">G22/273.15*($I$1+273.15)*0.0000000166666*$I$2</f>
        <v>4.1168548486414059E-5</v>
      </c>
      <c r="K22" s="2">
        <f t="shared" si="6"/>
        <v>0.87499999999999989</v>
      </c>
    </row>
    <row r="23" spans="1:11">
      <c r="A23" s="2">
        <v>5000</v>
      </c>
      <c r="B23" s="2">
        <v>0.27600000000000002</v>
      </c>
      <c r="C23" s="2">
        <f t="shared" si="4"/>
        <v>6.9</v>
      </c>
      <c r="D23" s="5">
        <f t="shared" si="7"/>
        <v>1.0292137121603516E-4</v>
      </c>
      <c r="E23" s="2">
        <f t="shared" si="5"/>
        <v>5.3000000000000007</v>
      </c>
      <c r="G23" s="2">
        <v>5000</v>
      </c>
      <c r="H23" s="7">
        <v>0.17100000000000001</v>
      </c>
      <c r="I23" s="2">
        <f t="shared" si="8"/>
        <v>4.2750000000000004</v>
      </c>
      <c r="J23" s="5">
        <f t="shared" si="9"/>
        <v>1.0292137121603516E-4</v>
      </c>
      <c r="K23" s="2">
        <f t="shared" si="6"/>
        <v>3.3750000000000004</v>
      </c>
    </row>
    <row r="24" spans="1:11">
      <c r="A24" s="2">
        <v>10000</v>
      </c>
      <c r="B24" s="2">
        <v>0.79700000000000004</v>
      </c>
      <c r="C24" s="2">
        <f t="shared" si="4"/>
        <v>19.925000000000001</v>
      </c>
      <c r="D24" s="5">
        <f t="shared" si="7"/>
        <v>2.0584274243207033E-4</v>
      </c>
      <c r="E24" s="2">
        <f t="shared" si="5"/>
        <v>16.375</v>
      </c>
      <c r="G24" s="2">
        <v>10000</v>
      </c>
      <c r="H24" s="7">
        <v>0.48499999999999999</v>
      </c>
      <c r="I24" s="2">
        <f t="shared" si="8"/>
        <v>12.125</v>
      </c>
      <c r="J24" s="5">
        <f t="shared" si="9"/>
        <v>2.0584274243207033E-4</v>
      </c>
      <c r="K24" s="2">
        <f t="shared" si="6"/>
        <v>10.324999999999999</v>
      </c>
    </row>
    <row r="25" spans="1:11">
      <c r="A25" s="2">
        <v>20000</v>
      </c>
      <c r="B25" s="2">
        <v>2.73</v>
      </c>
      <c r="C25" s="2">
        <f t="shared" si="4"/>
        <v>68.25</v>
      </c>
      <c r="D25" s="5">
        <f t="shared" si="7"/>
        <v>4.1168548486414066E-4</v>
      </c>
      <c r="E25" s="2">
        <f t="shared" si="5"/>
        <v>58.4</v>
      </c>
      <c r="G25" s="2">
        <v>20000</v>
      </c>
      <c r="H25" s="7">
        <v>1.5029999999999999</v>
      </c>
      <c r="I25" s="2">
        <f t="shared" si="8"/>
        <v>37.574999999999996</v>
      </c>
      <c r="J25" s="5">
        <f t="shared" si="9"/>
        <v>4.1168548486414066E-4</v>
      </c>
      <c r="K25" s="2">
        <f t="shared" si="6"/>
        <v>32.699999999999996</v>
      </c>
    </row>
    <row r="26" spans="1:11">
      <c r="A26" s="2">
        <v>30000</v>
      </c>
      <c r="B26" s="2">
        <v>5.38</v>
      </c>
      <c r="C26" s="2">
        <f t="shared" si="4"/>
        <v>134.5</v>
      </c>
      <c r="D26" s="5">
        <f t="shared" si="7"/>
        <v>6.1752822729621082E-4</v>
      </c>
      <c r="E26" s="2">
        <f>C26-C14</f>
        <v>116.125</v>
      </c>
      <c r="G26" s="2">
        <v>30000</v>
      </c>
      <c r="H26" s="7">
        <v>2.8</v>
      </c>
      <c r="I26" s="2">
        <f t="shared" si="8"/>
        <v>69.999999999999986</v>
      </c>
      <c r="J26" s="5">
        <f t="shared" si="9"/>
        <v>6.1752822729621082E-4</v>
      </c>
      <c r="K26" s="2">
        <f t="shared" si="6"/>
        <v>60.924999999999983</v>
      </c>
    </row>
    <row r="29" spans="1:11">
      <c r="A29" s="9" t="s">
        <v>14</v>
      </c>
      <c r="B29" s="9">
        <v>30</v>
      </c>
      <c r="C29" s="9" t="s">
        <v>8</v>
      </c>
      <c r="D29" s="9">
        <f>(PI()/4*F1^2-PI()/4*F2^2)*B29</f>
        <v>49.612031185490018</v>
      </c>
      <c r="E29" s="9" t="s">
        <v>12</v>
      </c>
      <c r="F29" s="9"/>
      <c r="G29" s="9" t="s">
        <v>0</v>
      </c>
      <c r="H29" s="9">
        <v>30</v>
      </c>
      <c r="I29" s="9" t="s">
        <v>8</v>
      </c>
      <c r="J29" s="9">
        <f>(PI()/4*F1^2-PI()/4*F2^2)*H29</f>
        <v>49.612031185490018</v>
      </c>
      <c r="K29" s="9" t="s">
        <v>12</v>
      </c>
    </row>
    <row r="31" spans="1:11">
      <c r="A31" s="2" t="s">
        <v>5</v>
      </c>
      <c r="B31" s="2" t="s">
        <v>2</v>
      </c>
      <c r="C31" s="2" t="s">
        <v>3</v>
      </c>
      <c r="D31" s="5" t="s">
        <v>15</v>
      </c>
      <c r="E31" s="2" t="s">
        <v>6</v>
      </c>
      <c r="G31" s="2" t="s">
        <v>5</v>
      </c>
      <c r="H31" s="6" t="s">
        <v>2</v>
      </c>
      <c r="I31" s="2" t="s">
        <v>3</v>
      </c>
      <c r="J31" s="5" t="s">
        <v>15</v>
      </c>
      <c r="K31" s="2" t="s">
        <v>6</v>
      </c>
    </row>
    <row r="32" spans="1:11">
      <c r="A32" s="2">
        <v>0</v>
      </c>
      <c r="B32" s="2">
        <v>1.7999999999999999E-2</v>
      </c>
      <c r="C32" s="2">
        <f>B32/$B$2*$C$2</f>
        <v>0.45</v>
      </c>
      <c r="D32" s="5"/>
      <c r="E32" s="2">
        <f t="shared" ref="E32:E39" si="10">C32-C7</f>
        <v>0</v>
      </c>
      <c r="G32" s="2">
        <v>0</v>
      </c>
      <c r="H32" s="7">
        <v>1.7000000000000001E-2</v>
      </c>
      <c r="I32" s="2">
        <f>H32/$B$2*$C$2</f>
        <v>0.42500000000000004</v>
      </c>
      <c r="J32" s="5"/>
      <c r="K32" s="2">
        <f t="shared" ref="K32:K39" si="11">I32-I7</f>
        <v>0</v>
      </c>
    </row>
    <row r="33" spans="1:11">
      <c r="A33" s="2">
        <v>600</v>
      </c>
      <c r="B33" s="2">
        <v>3.7999999999999999E-2</v>
      </c>
      <c r="C33" s="2">
        <f t="shared" ref="C33:C39" si="12">B33/$B$2*$C$2</f>
        <v>0.95</v>
      </c>
      <c r="D33" s="5">
        <f>G33/273.15*($I$1+273.15)*0.0000000166666*$I$2</f>
        <v>1.2350564545924218E-5</v>
      </c>
      <c r="E33" s="2">
        <f t="shared" si="10"/>
        <v>0.4</v>
      </c>
      <c r="G33" s="2">
        <v>600</v>
      </c>
      <c r="H33" s="7">
        <v>3.3000000000000002E-2</v>
      </c>
      <c r="I33" s="2">
        <f t="shared" ref="I33:I39" si="13">H33/$B$2*$C$2</f>
        <v>0.82499999999999996</v>
      </c>
      <c r="J33" s="5">
        <f>G33/273.15*($I$1+273.15)*0.0000000166666*$I$2</f>
        <v>1.2350564545924218E-5</v>
      </c>
      <c r="K33" s="2">
        <f t="shared" si="11"/>
        <v>0.36999999999999994</v>
      </c>
    </row>
    <row r="34" spans="1:11">
      <c r="A34" s="2">
        <v>1000</v>
      </c>
      <c r="B34" s="2">
        <v>5.6000000000000001E-2</v>
      </c>
      <c r="C34" s="2">
        <f t="shared" si="12"/>
        <v>1.4</v>
      </c>
      <c r="D34" s="5">
        <f t="shared" ref="D34:D39" si="14">A34/273.15*($I$1+273.15)*0.0000000166666*$I$2</f>
        <v>2.058427424320703E-5</v>
      </c>
      <c r="E34" s="2">
        <f t="shared" si="10"/>
        <v>0.77499999999999991</v>
      </c>
      <c r="G34" s="2">
        <v>1000</v>
      </c>
      <c r="H34" s="7">
        <v>4.7E-2</v>
      </c>
      <c r="I34" s="2">
        <f t="shared" si="13"/>
        <v>1.175</v>
      </c>
      <c r="J34" s="5">
        <f t="shared" ref="J34:J39" si="15">G34/273.15*($I$1+273.15)*0.0000000166666*$I$2</f>
        <v>2.058427424320703E-5</v>
      </c>
      <c r="K34" s="2">
        <f t="shared" si="11"/>
        <v>0.70750000000000002</v>
      </c>
    </row>
    <row r="35" spans="1:11">
      <c r="A35" s="2">
        <v>2000</v>
      </c>
      <c r="B35" s="2">
        <v>0.114</v>
      </c>
      <c r="C35" s="2">
        <f t="shared" si="12"/>
        <v>2.85</v>
      </c>
      <c r="D35" s="5">
        <f t="shared" si="14"/>
        <v>4.1168548486414059E-5</v>
      </c>
      <c r="E35" s="2">
        <f t="shared" si="10"/>
        <v>2</v>
      </c>
      <c r="G35" s="2">
        <v>2000</v>
      </c>
      <c r="H35" s="7">
        <v>9.4E-2</v>
      </c>
      <c r="I35" s="2">
        <f t="shared" si="13"/>
        <v>2.35</v>
      </c>
      <c r="J35" s="5">
        <f t="shared" si="15"/>
        <v>4.1168548486414059E-5</v>
      </c>
      <c r="K35" s="2">
        <f t="shared" si="11"/>
        <v>1.8250000000000002</v>
      </c>
    </row>
    <row r="36" spans="1:11">
      <c r="A36" s="2">
        <v>5000</v>
      </c>
      <c r="B36" s="2">
        <v>0.378</v>
      </c>
      <c r="C36" s="2">
        <f t="shared" si="12"/>
        <v>9.4499999999999993</v>
      </c>
      <c r="D36" s="5">
        <f t="shared" si="14"/>
        <v>1.0292137121603516E-4</v>
      </c>
      <c r="E36" s="2">
        <f t="shared" si="10"/>
        <v>7.85</v>
      </c>
      <c r="G36" s="2">
        <v>5000</v>
      </c>
      <c r="H36" s="7">
        <v>0.315</v>
      </c>
      <c r="I36" s="2">
        <f t="shared" si="13"/>
        <v>7.875</v>
      </c>
      <c r="J36" s="5">
        <f t="shared" si="15"/>
        <v>1.0292137121603516E-4</v>
      </c>
      <c r="K36" s="2">
        <f t="shared" si="11"/>
        <v>6.9749999999999996</v>
      </c>
    </row>
    <row r="37" spans="1:11">
      <c r="A37" s="2">
        <v>10000</v>
      </c>
      <c r="B37" s="2">
        <v>1.1000000000000001</v>
      </c>
      <c r="C37" s="2">
        <f t="shared" si="12"/>
        <v>27.500000000000004</v>
      </c>
      <c r="D37" s="5">
        <f t="shared" si="14"/>
        <v>2.0584274243207033E-4</v>
      </c>
      <c r="E37" s="2">
        <f t="shared" si="10"/>
        <v>23.950000000000003</v>
      </c>
      <c r="G37" s="2">
        <v>10000</v>
      </c>
      <c r="H37" s="7">
        <v>0.91900000000000004</v>
      </c>
      <c r="I37" s="2">
        <f t="shared" si="13"/>
        <v>22.975000000000001</v>
      </c>
      <c r="J37" s="5">
        <f t="shared" si="15"/>
        <v>2.0584274243207033E-4</v>
      </c>
      <c r="K37" s="2">
        <f t="shared" si="11"/>
        <v>21.175000000000001</v>
      </c>
    </row>
    <row r="38" spans="1:11">
      <c r="A38" s="2">
        <v>20000</v>
      </c>
      <c r="B38" s="2">
        <v>3.4</v>
      </c>
      <c r="C38" s="2">
        <f t="shared" si="12"/>
        <v>84.999999999999986</v>
      </c>
      <c r="D38" s="5">
        <f t="shared" si="14"/>
        <v>4.1168548486414066E-4</v>
      </c>
      <c r="E38" s="2">
        <f t="shared" si="10"/>
        <v>75.149999999999977</v>
      </c>
      <c r="G38" s="2">
        <v>20000</v>
      </c>
      <c r="H38" s="7">
        <v>2.88</v>
      </c>
      <c r="I38" s="2">
        <f t="shared" si="13"/>
        <v>72</v>
      </c>
      <c r="J38" s="5">
        <f t="shared" si="15"/>
        <v>4.1168548486414066E-4</v>
      </c>
      <c r="K38" s="2">
        <f t="shared" si="11"/>
        <v>67.125</v>
      </c>
    </row>
    <row r="39" spans="1:11">
      <c r="A39" s="2">
        <v>30000</v>
      </c>
      <c r="B39" s="2">
        <v>6.31</v>
      </c>
      <c r="C39" s="2">
        <f t="shared" si="12"/>
        <v>157.75</v>
      </c>
      <c r="D39" s="5">
        <f>A39/273.15*($I$1+273.15)*0.0000000166666*$I$2</f>
        <v>6.1752822729621082E-4</v>
      </c>
      <c r="E39" s="2">
        <f t="shared" si="10"/>
        <v>139.375</v>
      </c>
      <c r="G39" s="2">
        <v>30000</v>
      </c>
      <c r="H39" s="7">
        <v>5.4</v>
      </c>
      <c r="I39" s="2">
        <f t="shared" si="13"/>
        <v>135</v>
      </c>
      <c r="J39" s="5">
        <f t="shared" si="15"/>
        <v>6.1752822729621082E-4</v>
      </c>
      <c r="K39" s="2">
        <f t="shared" si="11"/>
        <v>125.925</v>
      </c>
    </row>
    <row r="41" spans="1:11">
      <c r="A41" t="s">
        <v>20</v>
      </c>
    </row>
    <row r="42" spans="1:11">
      <c r="A42" s="2" t="s">
        <v>5</v>
      </c>
      <c r="B42" s="2"/>
      <c r="C42" s="2"/>
      <c r="D42" s="2"/>
      <c r="E42" s="2" t="s">
        <v>6</v>
      </c>
      <c r="G42" s="2" t="s">
        <v>5</v>
      </c>
      <c r="H42" s="2"/>
      <c r="I42" s="2"/>
      <c r="J42" s="2"/>
      <c r="K42" s="2" t="s">
        <v>6</v>
      </c>
    </row>
    <row r="43" spans="1:11">
      <c r="A43" s="2">
        <v>0</v>
      </c>
      <c r="B43" s="2"/>
      <c r="C43" s="2"/>
      <c r="D43" s="2"/>
      <c r="E43" s="2">
        <f>E32-E19</f>
        <v>0</v>
      </c>
      <c r="G43" s="2">
        <v>0</v>
      </c>
      <c r="H43" s="2"/>
      <c r="I43" s="2"/>
      <c r="J43" s="2"/>
      <c r="K43" s="2">
        <f>K32-K19</f>
        <v>0</v>
      </c>
    </row>
    <row r="44" spans="1:11">
      <c r="A44" s="2">
        <v>600</v>
      </c>
      <c r="B44" s="2"/>
      <c r="C44" s="2"/>
      <c r="D44" s="2"/>
      <c r="E44" s="2">
        <f>E33-E20</f>
        <v>-2.5000000000000022E-2</v>
      </c>
      <c r="G44" s="2">
        <v>600</v>
      </c>
      <c r="H44" s="2"/>
      <c r="I44" s="2"/>
      <c r="J44" s="2"/>
      <c r="K44" s="2">
        <f>K33-K20</f>
        <v>0.27500000000000002</v>
      </c>
    </row>
    <row r="45" spans="1:11">
      <c r="A45" s="2">
        <v>1000</v>
      </c>
      <c r="B45" s="2"/>
      <c r="C45" s="2"/>
      <c r="D45" s="2"/>
      <c r="E45" s="2">
        <f t="shared" ref="E44:E50" si="16">E34-E21</f>
        <v>4.9999999999999822E-2</v>
      </c>
      <c r="G45" s="2">
        <v>1000</v>
      </c>
      <c r="H45" s="2"/>
      <c r="I45" s="2"/>
      <c r="J45" s="2"/>
      <c r="K45" s="2">
        <f t="shared" ref="K45:K49" si="17">K34-K21</f>
        <v>0.42500000000000004</v>
      </c>
    </row>
    <row r="46" spans="1:11">
      <c r="A46" s="2">
        <v>2000</v>
      </c>
      <c r="B46" s="2"/>
      <c r="C46" s="2"/>
      <c r="D46" s="2"/>
      <c r="E46" s="2">
        <f t="shared" si="16"/>
        <v>0.42499999999999982</v>
      </c>
      <c r="G46" s="2">
        <v>2000</v>
      </c>
      <c r="H46" s="2"/>
      <c r="I46" s="2"/>
      <c r="J46" s="2"/>
      <c r="K46" s="2">
        <f t="shared" si="17"/>
        <v>0.95000000000000029</v>
      </c>
    </row>
    <row r="47" spans="1:11">
      <c r="A47" s="2">
        <v>5000</v>
      </c>
      <c r="B47" s="2"/>
      <c r="C47" s="2"/>
      <c r="D47" s="2"/>
      <c r="E47" s="2">
        <f>E36-E23</f>
        <v>2.5499999999999989</v>
      </c>
      <c r="G47" s="2">
        <v>5000</v>
      </c>
      <c r="H47" s="2"/>
      <c r="I47" s="2"/>
      <c r="J47" s="2"/>
      <c r="K47" s="2">
        <f>K36-K23</f>
        <v>3.5999999999999992</v>
      </c>
    </row>
    <row r="48" spans="1:11">
      <c r="A48" s="2">
        <v>10000</v>
      </c>
      <c r="B48" s="2"/>
      <c r="C48" s="2"/>
      <c r="D48" s="2"/>
      <c r="E48" s="2">
        <f>E37-E24</f>
        <v>7.5750000000000028</v>
      </c>
      <c r="G48" s="2">
        <v>10000</v>
      </c>
      <c r="H48" s="2"/>
      <c r="I48" s="2"/>
      <c r="J48" s="2"/>
      <c r="K48" s="2">
        <f>K37-K24</f>
        <v>10.850000000000001</v>
      </c>
    </row>
    <row r="49" spans="1:11">
      <c r="A49" s="2">
        <v>20000</v>
      </c>
      <c r="B49" s="2"/>
      <c r="C49" s="2"/>
      <c r="D49" s="2"/>
      <c r="E49" s="2">
        <f t="shared" si="16"/>
        <v>16.749999999999979</v>
      </c>
      <c r="G49" s="2">
        <v>20000</v>
      </c>
      <c r="H49" s="2"/>
      <c r="I49" s="2"/>
      <c r="J49" s="2"/>
      <c r="K49" s="2">
        <f t="shared" si="17"/>
        <v>34.425000000000004</v>
      </c>
    </row>
    <row r="50" spans="1:11">
      <c r="A50" s="2">
        <v>30000</v>
      </c>
      <c r="B50" s="2"/>
      <c r="C50" s="2"/>
      <c r="D50" s="2"/>
      <c r="E50" s="2">
        <f t="shared" si="16"/>
        <v>23.25</v>
      </c>
      <c r="G50" s="2">
        <v>30000</v>
      </c>
      <c r="H50" s="2"/>
      <c r="I50" s="2"/>
      <c r="J50" s="2"/>
      <c r="K50" s="2">
        <f>K39-K26</f>
        <v>65.000000000000014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Pressure loss</vt:lpstr>
      <vt:lpstr>Pressure loss_highflow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Mettke, Judith</dc:creator>
  <cp:lastModifiedBy>Mathew, Martin</cp:lastModifiedBy>
  <dcterms:created xsi:type="dcterms:W3CDTF">2025-04-09T09:06:11Z</dcterms:created>
  <dcterms:modified xsi:type="dcterms:W3CDTF">2025-08-18T15:04:29Z</dcterms:modified>
</cp:coreProperties>
</file>