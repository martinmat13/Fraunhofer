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5190804C-2007-4AFA-B1A2-D7C1059EF74D}" xr6:coauthVersionLast="47" xr6:coauthVersionMax="47" xr10:uidLastSave="{00000000-0000-0000-0000-000000000000}"/>
  <bookViews>
    <workbookView xWindow="-120" yWindow="-120" windowWidth="24240" windowHeight="13020" xr2:uid="{89A5E28B-851D-4AF5-9444-6AFAAC16E4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G17" i="1"/>
  <c r="G16" i="1"/>
  <c r="C16" i="1"/>
  <c r="D16" i="1"/>
  <c r="D18" i="1" s="1"/>
  <c r="C18" i="1"/>
  <c r="D9" i="1"/>
  <c r="C9" i="1"/>
</calcChain>
</file>

<file path=xl/sharedStrings.xml><?xml version="1.0" encoding="utf-8"?>
<sst xmlns="http://schemas.openxmlformats.org/spreadsheetml/2006/main" count="37" uniqueCount="30">
  <si>
    <t>Trilobe</t>
  </si>
  <si>
    <t>mm</t>
  </si>
  <si>
    <t>g/cm³</t>
  </si>
  <si>
    <t>W/m/K</t>
  </si>
  <si>
    <t>hollow cylinder</t>
  </si>
  <si>
    <t>unit</t>
  </si>
  <si>
    <t>length</t>
  </si>
  <si>
    <t>outer diameter</t>
  </si>
  <si>
    <t>wall thickness</t>
  </si>
  <si>
    <t>porosity</t>
  </si>
  <si>
    <t>material density</t>
  </si>
  <si>
    <t>bulk density</t>
  </si>
  <si>
    <r>
      <t>γ-Al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</si>
  <si>
    <r>
      <t>γ-Al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at norm conditions</t>
    </r>
  </si>
  <si>
    <t>available for support material after BET</t>
  </si>
  <si>
    <t>tortuosity</t>
  </si>
  <si>
    <t>pore diameter</t>
  </si>
  <si>
    <t xml:space="preserve">thermal conductivity </t>
  </si>
  <si>
    <t>see drawing</t>
  </si>
  <si>
    <t>comments</t>
  </si>
  <si>
    <t>bed length</t>
  </si>
  <si>
    <t>catalyst mass</t>
  </si>
  <si>
    <t>g</t>
  </si>
  <si>
    <t>pellet geometry</t>
  </si>
  <si>
    <t>material properties</t>
  </si>
  <si>
    <t>reactor/bed geometry</t>
  </si>
  <si>
    <t>area reactor</t>
  </si>
  <si>
    <r>
      <t>d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 reactor</t>
    </r>
  </si>
  <si>
    <r>
      <t>d</t>
    </r>
    <r>
      <rPr>
        <vertAlign val="subscript"/>
        <sz val="11"/>
        <color theme="1"/>
        <rFont val="Calibri"/>
        <family val="2"/>
      </rPr>
      <t>insertion</t>
    </r>
  </si>
  <si>
    <t>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</si>
</sst>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1EF-8806-4651-8FF3-EBA76246B50C}">
  <dimension ref="A2:H20"/>
  <sheetViews>
    <sheetView tabSelected="1" topLeftCell="A12" zoomScale="130" zoomScaleNormal="130" workbookViewId="0">
      <selection activeCell="H23" sqref="H23"/>
    </sheetView>
  </sheetViews>
  <sheetFormatPr baseColWidth="10" defaultRowHeight="15" x14ac:dyDescent="0.25"/>
  <cols>
    <col min="1" max="1" width="21.28515625" customWidth="1"/>
    <col min="3" max="3" width="16" customWidth="1"/>
    <col min="4" max="4" width="19.5703125" customWidth="1"/>
    <col min="5" max="5" width="36.5703125" customWidth="1"/>
  </cols>
  <sheetData>
    <row r="2" spans="1:8" x14ac:dyDescent="0.25">
      <c r="A2" s="1" t="s">
        <v>23</v>
      </c>
      <c r="B2" s="1" t="s">
        <v>5</v>
      </c>
      <c r="C2" s="1" t="s">
        <v>4</v>
      </c>
      <c r="D2" s="1" t="s">
        <v>0</v>
      </c>
      <c r="E2" s="1" t="s">
        <v>19</v>
      </c>
    </row>
    <row r="3" spans="1:8" x14ac:dyDescent="0.25">
      <c r="A3" s="2" t="s">
        <v>6</v>
      </c>
      <c r="B3" s="2" t="s">
        <v>1</v>
      </c>
      <c r="C3" s="3">
        <v>6</v>
      </c>
      <c r="D3" s="3">
        <v>6</v>
      </c>
      <c r="E3" s="3"/>
    </row>
    <row r="4" spans="1:8" x14ac:dyDescent="0.25">
      <c r="A4" s="2" t="s">
        <v>7</v>
      </c>
      <c r="B4" s="2" t="s">
        <v>1</v>
      </c>
      <c r="C4" s="3">
        <v>3</v>
      </c>
      <c r="D4" s="3" t="s">
        <v>18</v>
      </c>
      <c r="E4" s="3"/>
    </row>
    <row r="5" spans="1:8" x14ac:dyDescent="0.25">
      <c r="A5" s="2" t="s">
        <v>8</v>
      </c>
      <c r="B5" s="2" t="s">
        <v>1</v>
      </c>
      <c r="C5" s="3">
        <v>0.55000000000000004</v>
      </c>
      <c r="D5" s="3"/>
      <c r="E5" s="3"/>
    </row>
    <row r="6" spans="1:8" x14ac:dyDescent="0.25">
      <c r="A6" s="3"/>
      <c r="B6" s="3"/>
      <c r="C6" s="3"/>
      <c r="D6" s="3"/>
      <c r="E6" s="3"/>
    </row>
    <row r="7" spans="1:8" x14ac:dyDescent="0.25">
      <c r="A7" s="1" t="s">
        <v>24</v>
      </c>
      <c r="B7" s="1"/>
      <c r="C7" s="1"/>
      <c r="D7" s="1"/>
      <c r="E7" s="1"/>
    </row>
    <row r="8" spans="1:8" ht="18" x14ac:dyDescent="0.35">
      <c r="A8" s="2" t="s">
        <v>10</v>
      </c>
      <c r="B8" s="2" t="s">
        <v>2</v>
      </c>
      <c r="C8" s="3">
        <v>3.94</v>
      </c>
      <c r="D8" s="3"/>
      <c r="E8" s="3" t="s">
        <v>12</v>
      </c>
    </row>
    <row r="9" spans="1:8" x14ac:dyDescent="0.25">
      <c r="A9" s="2" t="s">
        <v>11</v>
      </c>
      <c r="B9" s="2" t="s">
        <v>2</v>
      </c>
      <c r="C9" s="3">
        <f>4.74/10</f>
        <v>0.47400000000000003</v>
      </c>
      <c r="D9" s="3">
        <f>12.095/20</f>
        <v>0.60475000000000001</v>
      </c>
      <c r="E9" s="3"/>
    </row>
    <row r="10" spans="1:8" ht="18" x14ac:dyDescent="0.35">
      <c r="A10" s="2" t="s">
        <v>17</v>
      </c>
      <c r="B10" s="2" t="s">
        <v>3</v>
      </c>
      <c r="C10" s="3">
        <v>37</v>
      </c>
      <c r="D10" s="3"/>
      <c r="E10" s="3" t="s">
        <v>13</v>
      </c>
    </row>
    <row r="11" spans="1:8" x14ac:dyDescent="0.25">
      <c r="A11" s="2" t="s">
        <v>16</v>
      </c>
      <c r="B11" s="2"/>
      <c r="C11" s="3"/>
      <c r="D11" s="3"/>
      <c r="E11" s="3" t="s">
        <v>14</v>
      </c>
    </row>
    <row r="12" spans="1:8" x14ac:dyDescent="0.25">
      <c r="A12" s="2" t="s">
        <v>9</v>
      </c>
      <c r="B12" s="2"/>
      <c r="C12" s="3"/>
      <c r="D12" s="3"/>
      <c r="E12" s="3" t="s">
        <v>14</v>
      </c>
    </row>
    <row r="13" spans="1:8" x14ac:dyDescent="0.25">
      <c r="A13" s="2" t="s">
        <v>15</v>
      </c>
      <c r="B13" s="2"/>
      <c r="C13" s="3"/>
      <c r="D13" s="3"/>
      <c r="E13" s="3"/>
    </row>
    <row r="14" spans="1:8" x14ac:dyDescent="0.25">
      <c r="A14" s="3"/>
      <c r="B14" s="3"/>
      <c r="C14" s="3"/>
      <c r="D14" s="3"/>
      <c r="E14" s="3"/>
    </row>
    <row r="15" spans="1:8" x14ac:dyDescent="0.25">
      <c r="A15" s="1" t="s">
        <v>25</v>
      </c>
      <c r="B15" s="1"/>
      <c r="C15" s="1"/>
      <c r="D15" s="1"/>
      <c r="E15" s="1"/>
    </row>
    <row r="16" spans="1:8" ht="18" x14ac:dyDescent="0.35">
      <c r="A16" s="2" t="s">
        <v>27</v>
      </c>
      <c r="B16" s="2" t="s">
        <v>1</v>
      </c>
      <c r="C16" s="3">
        <f>19.01-2*1.65</f>
        <v>15.71</v>
      </c>
      <c r="D16" s="3">
        <f>19.01-2*1.65</f>
        <v>15.71</v>
      </c>
      <c r="E16" s="3"/>
      <c r="G16">
        <f>C16/2</f>
        <v>7.8550000000000004</v>
      </c>
      <c r="H16">
        <f>G16/1000</f>
        <v>7.8550000000000009E-3</v>
      </c>
    </row>
    <row r="17" spans="1:8" ht="18" x14ac:dyDescent="0.35">
      <c r="A17" s="2" t="s">
        <v>28</v>
      </c>
      <c r="B17" s="2" t="s">
        <v>1</v>
      </c>
      <c r="C17" s="3">
        <v>3.1749999999999998</v>
      </c>
      <c r="D17" s="3">
        <v>3.1749999999999998</v>
      </c>
      <c r="E17" s="3"/>
      <c r="G17">
        <f>C17/2</f>
        <v>1.5874999999999999</v>
      </c>
      <c r="H17">
        <f>G17/1000</f>
        <v>1.5874999999999999E-3</v>
      </c>
    </row>
    <row r="18" spans="1:8" x14ac:dyDescent="0.25">
      <c r="A18" s="2" t="s">
        <v>26</v>
      </c>
      <c r="B18" s="2" t="s">
        <v>29</v>
      </c>
      <c r="C18" s="3">
        <f>PI()/4*C16^2-PI()/4*C17^2</f>
        <v>185.92218249806177</v>
      </c>
      <c r="D18" s="3">
        <f>PI()/4*D16^2-PI()/4*D17^2</f>
        <v>185.92218249806177</v>
      </c>
      <c r="E18" s="3"/>
    </row>
    <row r="19" spans="1:8" x14ac:dyDescent="0.25">
      <c r="A19" s="2" t="s">
        <v>20</v>
      </c>
      <c r="B19" s="2" t="s">
        <v>1</v>
      </c>
      <c r="C19" s="3">
        <v>100</v>
      </c>
      <c r="D19" s="3">
        <v>100</v>
      </c>
      <c r="E19" s="3"/>
    </row>
    <row r="20" spans="1:8" x14ac:dyDescent="0.25">
      <c r="A20" s="2" t="s">
        <v>21</v>
      </c>
      <c r="B20" s="2" t="s">
        <v>22</v>
      </c>
      <c r="C20" s="3">
        <v>8</v>
      </c>
      <c r="D20" s="3">
        <v>10.199999999999999</v>
      </c>
      <c r="E20" s="3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Mathew, Martin</cp:lastModifiedBy>
  <dcterms:created xsi:type="dcterms:W3CDTF">2025-04-04T09:42:00Z</dcterms:created>
  <dcterms:modified xsi:type="dcterms:W3CDTF">2025-06-20T08:32:13Z</dcterms:modified>
</cp:coreProperties>
</file>