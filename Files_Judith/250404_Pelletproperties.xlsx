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jekte\02_Aktuell\ANSYS_Rocky\Fixed Bed Project\Files_Judith\"/>
    </mc:Choice>
  </mc:AlternateContent>
  <xr:revisionPtr revIDLastSave="0" documentId="13_ncr:1_{FDD07ACA-E1E7-419A-89EA-41C0AF79E06E}" xr6:coauthVersionLast="47" xr6:coauthVersionMax="47" xr10:uidLastSave="{00000000-0000-0000-0000-000000000000}"/>
  <bookViews>
    <workbookView xWindow="-110" yWindow="-110" windowWidth="19420" windowHeight="10300" xr2:uid="{89A5E28B-851D-4AF5-9444-6AFAAC16E48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C17" i="1"/>
  <c r="C16" i="1"/>
  <c r="C20" i="1"/>
  <c r="C22" i="1" s="1"/>
  <c r="C24" i="1" s="1"/>
  <c r="C9" i="1"/>
  <c r="D9" i="1"/>
  <c r="D16" i="1" s="1"/>
  <c r="D20" i="1"/>
  <c r="D22" i="1" s="1"/>
  <c r="D24" i="1" s="1"/>
</calcChain>
</file>

<file path=xl/sharedStrings.xml><?xml version="1.0" encoding="utf-8"?>
<sst xmlns="http://schemas.openxmlformats.org/spreadsheetml/2006/main" count="47" uniqueCount="35">
  <si>
    <t>Trilobe</t>
  </si>
  <si>
    <t>mm</t>
  </si>
  <si>
    <t>g/cm³</t>
  </si>
  <si>
    <t>W/m/K</t>
  </si>
  <si>
    <t>hollow cylinder</t>
  </si>
  <si>
    <t>unit</t>
  </si>
  <si>
    <t>length</t>
  </si>
  <si>
    <t>outer diameter</t>
  </si>
  <si>
    <t>wall thickness</t>
  </si>
  <si>
    <t>porosity</t>
  </si>
  <si>
    <t>material density</t>
  </si>
  <si>
    <t>bulk density</t>
  </si>
  <si>
    <r>
      <t>γ-Al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O</t>
    </r>
    <r>
      <rPr>
        <vertAlign val="sub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 xml:space="preserve"> at norm conditions</t>
    </r>
  </si>
  <si>
    <t>tortuosity</t>
  </si>
  <si>
    <t>pore diameter</t>
  </si>
  <si>
    <t xml:space="preserve">thermal conductivity </t>
  </si>
  <si>
    <t>see drawing</t>
  </si>
  <si>
    <t>comments</t>
  </si>
  <si>
    <t>bed length</t>
  </si>
  <si>
    <t>catalyst mass</t>
  </si>
  <si>
    <t>g</t>
  </si>
  <si>
    <t>pellet geometry</t>
  </si>
  <si>
    <t>material properties</t>
  </si>
  <si>
    <t>reactor/bed geometry</t>
  </si>
  <si>
    <t>area reactor</t>
  </si>
  <si>
    <r>
      <t>d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 xml:space="preserve"> reactor</t>
    </r>
  </si>
  <si>
    <r>
      <t>d</t>
    </r>
    <r>
      <rPr>
        <vertAlign val="subscript"/>
        <sz val="11"/>
        <color theme="1"/>
        <rFont val="Calibri"/>
        <family val="2"/>
      </rPr>
      <t>insertion</t>
    </r>
  </si>
  <si>
    <t>mm²</t>
  </si>
  <si>
    <t>BET-surface</t>
  </si>
  <si>
    <t>m²/g</t>
  </si>
  <si>
    <t>µm</t>
  </si>
  <si>
    <t>pellet density</t>
  </si>
  <si>
    <t>void fraction bulk</t>
  </si>
  <si>
    <t>Compacted as in the reactor</t>
  </si>
  <si>
    <t>not compacted at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</si>
</sst>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</font>
    <font>
      <sz val="8"/>
      <name val="Calibri"/>
      <family val="2"/>
    </font>
    <font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31EF-8806-4651-8FF3-EBA76246B50C}">
  <dimension ref="A2:E24"/>
  <sheetViews>
    <sheetView tabSelected="1" zoomScale="130" zoomScaleNormal="130" workbookViewId="0">
      <selection activeCell="F6" sqref="F6"/>
    </sheetView>
  </sheetViews>
  <sheetFormatPr baseColWidth="10" defaultRowHeight="14.5" x14ac:dyDescent="0.35"/>
  <cols>
    <col min="1" max="1" width="21.26953125" customWidth="1"/>
    <col min="3" max="3" width="16" customWidth="1"/>
    <col min="4" max="4" width="19.54296875" customWidth="1"/>
    <col min="5" max="5" width="36.54296875" customWidth="1"/>
  </cols>
  <sheetData>
    <row r="2" spans="1:5" x14ac:dyDescent="0.35">
      <c r="A2" s="1" t="s">
        <v>21</v>
      </c>
      <c r="B2" s="1" t="s">
        <v>5</v>
      </c>
      <c r="C2" s="1" t="s">
        <v>4</v>
      </c>
      <c r="D2" s="1" t="s">
        <v>0</v>
      </c>
      <c r="E2" s="1" t="s">
        <v>17</v>
      </c>
    </row>
    <row r="3" spans="1:5" x14ac:dyDescent="0.35">
      <c r="A3" s="2" t="s">
        <v>6</v>
      </c>
      <c r="B3" s="2" t="s">
        <v>1</v>
      </c>
      <c r="C3">
        <v>6</v>
      </c>
      <c r="D3">
        <v>6</v>
      </c>
    </row>
    <row r="4" spans="1:5" x14ac:dyDescent="0.35">
      <c r="A4" s="2" t="s">
        <v>7</v>
      </c>
      <c r="B4" s="2" t="s">
        <v>1</v>
      </c>
      <c r="C4">
        <v>3</v>
      </c>
      <c r="D4" t="s">
        <v>16</v>
      </c>
    </row>
    <row r="5" spans="1:5" x14ac:dyDescent="0.35">
      <c r="A5" s="2" t="s">
        <v>8</v>
      </c>
      <c r="B5" s="2" t="s">
        <v>1</v>
      </c>
      <c r="C5">
        <v>0.55000000000000004</v>
      </c>
    </row>
    <row r="7" spans="1:5" x14ac:dyDescent="0.35">
      <c r="A7" s="1" t="s">
        <v>22</v>
      </c>
      <c r="B7" s="1"/>
      <c r="C7" s="1"/>
      <c r="D7" s="1"/>
      <c r="E7" s="1"/>
    </row>
    <row r="8" spans="1:5" x14ac:dyDescent="0.35">
      <c r="A8" s="2" t="s">
        <v>10</v>
      </c>
      <c r="B8" s="2" t="s">
        <v>2</v>
      </c>
      <c r="C8">
        <v>3.6949999999999998</v>
      </c>
      <c r="D8">
        <v>3.4000000000000004</v>
      </c>
    </row>
    <row r="9" spans="1:5" x14ac:dyDescent="0.35">
      <c r="A9" s="2" t="s">
        <v>31</v>
      </c>
      <c r="B9" s="2" t="s">
        <v>2</v>
      </c>
      <c r="C9">
        <f>C8*(1-C15)</f>
        <v>1.5289909999999998</v>
      </c>
      <c r="D9">
        <f>D8*(1-D15)</f>
        <v>1.1764000000000001</v>
      </c>
    </row>
    <row r="10" spans="1:5" x14ac:dyDescent="0.35">
      <c r="A10" s="2" t="s">
        <v>11</v>
      </c>
      <c r="B10" s="2" t="s">
        <v>2</v>
      </c>
      <c r="C10">
        <v>0.53397857142857141</v>
      </c>
      <c r="D10">
        <v>0.58636958204334366</v>
      </c>
      <c r="E10" t="s">
        <v>33</v>
      </c>
    </row>
    <row r="11" spans="1:5" x14ac:dyDescent="0.35">
      <c r="A11" s="2" t="s">
        <v>11</v>
      </c>
      <c r="B11" s="2" t="s">
        <v>2</v>
      </c>
      <c r="C11">
        <v>0.46723124999999999</v>
      </c>
      <c r="D11">
        <v>0.53356241976893459</v>
      </c>
      <c r="E11" t="s">
        <v>34</v>
      </c>
    </row>
    <row r="12" spans="1:5" ht="16.5" x14ac:dyDescent="0.45">
      <c r="A12" s="2" t="s">
        <v>15</v>
      </c>
      <c r="B12" s="2" t="s">
        <v>3</v>
      </c>
      <c r="C12">
        <v>37</v>
      </c>
      <c r="D12">
        <v>37</v>
      </c>
      <c r="E12" t="s">
        <v>12</v>
      </c>
    </row>
    <row r="13" spans="1:5" x14ac:dyDescent="0.35">
      <c r="A13" s="2" t="s">
        <v>28</v>
      </c>
      <c r="B13" s="2" t="s">
        <v>29</v>
      </c>
      <c r="C13">
        <v>98</v>
      </c>
      <c r="D13">
        <v>128.5</v>
      </c>
    </row>
    <row r="14" spans="1:5" x14ac:dyDescent="0.35">
      <c r="A14" s="2" t="s">
        <v>14</v>
      </c>
      <c r="B14" s="2" t="s">
        <v>30</v>
      </c>
      <c r="C14">
        <v>1.9890000000000001E-2</v>
      </c>
      <c r="D14">
        <v>1.9890000000000001E-2</v>
      </c>
    </row>
    <row r="15" spans="1:5" x14ac:dyDescent="0.35">
      <c r="A15" s="2" t="s">
        <v>9</v>
      </c>
      <c r="B15" s="2"/>
      <c r="C15">
        <v>0.58620000000000005</v>
      </c>
      <c r="D15">
        <v>0.65400000000000003</v>
      </c>
    </row>
    <row r="16" spans="1:5" x14ac:dyDescent="0.35">
      <c r="A16" s="2" t="s">
        <v>32</v>
      </c>
      <c r="B16" s="2"/>
      <c r="C16">
        <f>1-C10/C9</f>
        <v>0.65076408466199509</v>
      </c>
      <c r="D16">
        <f>1-D10/D9</f>
        <v>0.50155594862007513</v>
      </c>
      <c r="E16" t="s">
        <v>33</v>
      </c>
    </row>
    <row r="17" spans="1:5" x14ac:dyDescent="0.35">
      <c r="A17" s="2" t="s">
        <v>32</v>
      </c>
      <c r="B17" s="2"/>
      <c r="C17">
        <f>1-C11/C9</f>
        <v>0.69441857407924568</v>
      </c>
      <c r="D17">
        <f>1-D11/D9</f>
        <v>0.54644472988019843</v>
      </c>
      <c r="E17" t="s">
        <v>34</v>
      </c>
    </row>
    <row r="18" spans="1:5" x14ac:dyDescent="0.35">
      <c r="A18" s="2" t="s">
        <v>13</v>
      </c>
      <c r="B18" s="2"/>
    </row>
    <row r="19" spans="1:5" x14ac:dyDescent="0.35">
      <c r="A19" s="1" t="s">
        <v>23</v>
      </c>
      <c r="B19" s="1"/>
      <c r="C19" s="1"/>
      <c r="D19" s="1"/>
      <c r="E19" s="1"/>
    </row>
    <row r="20" spans="1:5" ht="16.5" x14ac:dyDescent="0.45">
      <c r="A20" s="2" t="s">
        <v>25</v>
      </c>
      <c r="B20" s="2" t="s">
        <v>1</v>
      </c>
      <c r="C20">
        <f>19.01-2*1.65</f>
        <v>15.71</v>
      </c>
      <c r="D20">
        <f>19.01-2*1.65</f>
        <v>15.71</v>
      </c>
    </row>
    <row r="21" spans="1:5" ht="16.5" x14ac:dyDescent="0.45">
      <c r="A21" s="2" t="s">
        <v>26</v>
      </c>
      <c r="B21" s="2" t="s">
        <v>1</v>
      </c>
      <c r="C21">
        <v>3.1749999999999998</v>
      </c>
      <c r="D21">
        <v>3.1749999999999998</v>
      </c>
    </row>
    <row r="22" spans="1:5" x14ac:dyDescent="0.35">
      <c r="A22" s="2" t="s">
        <v>24</v>
      </c>
      <c r="B22" s="2" t="s">
        <v>27</v>
      </c>
      <c r="C22">
        <f>PI()/4*C20^2-PI()/4*C21^2</f>
        <v>185.92218249806177</v>
      </c>
      <c r="D22">
        <f>PI()/4*D20^2-PI()/4*D21^2</f>
        <v>185.92218249806177</v>
      </c>
    </row>
    <row r="23" spans="1:5" x14ac:dyDescent="0.35">
      <c r="A23" s="2" t="s">
        <v>18</v>
      </c>
      <c r="B23" s="2" t="s">
        <v>1</v>
      </c>
      <c r="C23">
        <v>100</v>
      </c>
      <c r="D23">
        <v>100</v>
      </c>
    </row>
    <row r="24" spans="1:5" x14ac:dyDescent="0.35">
      <c r="A24" s="2" t="s">
        <v>19</v>
      </c>
      <c r="B24" s="2" t="s">
        <v>20</v>
      </c>
      <c r="C24" s="3">
        <f>(C22*C23*C10)/1000</f>
        <v>9.9278461407197174</v>
      </c>
      <c r="D24" s="3">
        <f>(D22*D23*D10)/1000</f>
        <v>10.901911244397475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Mettke, Judith</dc:creator>
  <cp:lastModifiedBy>Mathew, Martin</cp:lastModifiedBy>
  <dcterms:created xsi:type="dcterms:W3CDTF">2025-04-04T09:42:00Z</dcterms:created>
  <dcterms:modified xsi:type="dcterms:W3CDTF">2025-08-18T14:52:21Z</dcterms:modified>
</cp:coreProperties>
</file>