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Y:\Projekte\02_Aktuell\ANSYS_Rocky\Fixed Bed Project\Files_Judith\"/>
    </mc:Choice>
  </mc:AlternateContent>
  <xr:revisionPtr revIDLastSave="0" documentId="13_ncr:1_{6CA91268-5A9D-41D4-A6E3-AE9E962A18DC}" xr6:coauthVersionLast="47" xr6:coauthVersionMax="47" xr10:uidLastSave="{00000000-0000-0000-0000-000000000000}"/>
  <bookViews>
    <workbookView xWindow="1185" yWindow="1215" windowWidth="18885" windowHeight="10965" xr2:uid="{FA6844DE-E1AD-4D2C-8114-7B02EA65496A}"/>
  </bookViews>
  <sheets>
    <sheet name="Pressure los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" i="1" l="1"/>
  <c r="F20" i="1"/>
  <c r="F21" i="1"/>
  <c r="F22" i="1"/>
  <c r="F23" i="1"/>
  <c r="F24" i="1"/>
  <c r="F18" i="1"/>
  <c r="D19" i="1"/>
  <c r="D20" i="1"/>
  <c r="D21" i="1"/>
  <c r="D22" i="1"/>
  <c r="D23" i="1"/>
  <c r="D24" i="1"/>
  <c r="D18" i="1"/>
  <c r="D28" i="1"/>
  <c r="D27" i="1"/>
  <c r="D15" i="1"/>
  <c r="D14" i="1"/>
  <c r="C6" i="1"/>
  <c r="E6" i="1" s="1"/>
  <c r="C24" i="1"/>
  <c r="C7" i="1"/>
  <c r="C8" i="1"/>
  <c r="C9" i="1"/>
  <c r="C10" i="1"/>
  <c r="C11" i="1"/>
  <c r="C12" i="1"/>
  <c r="C19" i="1"/>
  <c r="C20" i="1"/>
  <c r="C21" i="1"/>
  <c r="C22" i="1"/>
  <c r="C23" i="1"/>
  <c r="C18" i="1"/>
  <c r="C32" i="1"/>
  <c r="C33" i="1"/>
  <c r="C34" i="1"/>
  <c r="C35" i="1"/>
  <c r="C36" i="1"/>
  <c r="C37" i="1"/>
  <c r="C31" i="1"/>
  <c r="E20" i="1" l="1"/>
  <c r="E7" i="1"/>
  <c r="E18" i="1"/>
  <c r="E9" i="1"/>
  <c r="E22" i="1"/>
  <c r="E24" i="1"/>
  <c r="E31" i="1"/>
  <c r="E32" i="1"/>
  <c r="E11" i="1"/>
  <c r="E36" i="1"/>
  <c r="E23" i="1"/>
  <c r="E37" i="1"/>
  <c r="E21" i="1"/>
  <c r="E35" i="1"/>
  <c r="E34" i="1"/>
  <c r="E19" i="1"/>
  <c r="E33" i="1"/>
  <c r="E8" i="1"/>
  <c r="E12" i="1"/>
  <c r="E10" i="1"/>
</calcChain>
</file>

<file path=xl/sharedStrings.xml><?xml version="1.0" encoding="utf-8"?>
<sst xmlns="http://schemas.openxmlformats.org/spreadsheetml/2006/main" count="32" uniqueCount="19">
  <si>
    <t>Hollow Cylinder</t>
  </si>
  <si>
    <t>Triobe</t>
  </si>
  <si>
    <t>V</t>
  </si>
  <si>
    <t>mbar</t>
  </si>
  <si>
    <t>Empty</t>
  </si>
  <si>
    <t>V / NmL/min</t>
  </si>
  <si>
    <t>Δp / mbar</t>
  </si>
  <si>
    <t>d/ cm</t>
  </si>
  <si>
    <t>cm</t>
  </si>
  <si>
    <t>g</t>
  </si>
  <si>
    <r>
      <t>cm</t>
    </r>
    <r>
      <rPr>
        <i/>
        <sz val="11"/>
        <color theme="1"/>
        <rFont val="Calibri"/>
        <family val="2"/>
      </rPr>
      <t>3</t>
    </r>
  </si>
  <si>
    <t>g/cm^3</t>
  </si>
  <si>
    <t>cm^3</t>
  </si>
  <si>
    <t>A_in</t>
  </si>
  <si>
    <t>m^2</t>
  </si>
  <si>
    <t>T</t>
  </si>
  <si>
    <t>degC</t>
  </si>
  <si>
    <t>Δp / Pa</t>
  </si>
  <si>
    <t>u_in / m/s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</si>
</sst>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</font>
    <font>
      <i/>
      <sz val="11"/>
      <color theme="1"/>
      <name val="Calibri"/>
      <family val="2"/>
    </font>
    <font>
      <sz val="11"/>
      <color theme="0" tint="-0.249977111117893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476250</xdr:colOff>
      <xdr:row>26</xdr:row>
      <xdr:rowOff>127217</xdr:rowOff>
    </xdr:from>
    <xdr:to>
      <xdr:col>8</xdr:col>
      <xdr:colOff>314325</xdr:colOff>
      <xdr:row>41</xdr:row>
      <xdr:rowOff>180975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70B07F02-A4E2-5FC6-32B0-42015BCCD1C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91" t="6562" r="24375" b="24479"/>
        <a:stretch/>
      </xdr:blipFill>
      <xdr:spPr bwMode="auto">
        <a:xfrm>
          <a:off x="4695825" y="5080217"/>
          <a:ext cx="2124075" cy="29112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161925</xdr:colOff>
      <xdr:row>13</xdr:row>
      <xdr:rowOff>114300</xdr:rowOff>
    </xdr:from>
    <xdr:to>
      <xdr:col>8</xdr:col>
      <xdr:colOff>621604</xdr:colOff>
      <xdr:row>25</xdr:row>
      <xdr:rowOff>19050</xdr:rowOff>
    </xdr:to>
    <xdr:pic>
      <xdr:nvPicPr>
        <xdr:cNvPr id="6" name="Grafik 5">
          <a:extLst>
            <a:ext uri="{FF2B5EF4-FFF2-40B4-BE49-F238E27FC236}">
              <a16:creationId xmlns:a16="http://schemas.microsoft.com/office/drawing/2014/main" id="{097368F2-A7AC-F521-FB99-E98655544F8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890" t="-192" r="15469" b="23202"/>
        <a:stretch/>
      </xdr:blipFill>
      <xdr:spPr bwMode="auto">
        <a:xfrm>
          <a:off x="5143500" y="2590800"/>
          <a:ext cx="1983679" cy="2190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A934F-D4B7-4244-A046-58376CF789B4}">
  <dimension ref="A1:I37"/>
  <sheetViews>
    <sheetView tabSelected="1" topLeftCell="A7" workbookViewId="0">
      <selection activeCell="D24" sqref="D24"/>
    </sheetView>
  </sheetViews>
  <sheetFormatPr baseColWidth="10" defaultRowHeight="15" x14ac:dyDescent="0.25"/>
  <cols>
    <col min="1" max="1" width="17.5703125" customWidth="1"/>
  </cols>
  <sheetData>
    <row r="1" spans="1:9" x14ac:dyDescent="0.25">
      <c r="B1" t="s">
        <v>2</v>
      </c>
      <c r="C1" t="s">
        <v>3</v>
      </c>
      <c r="G1" t="s">
        <v>13</v>
      </c>
      <c r="H1">
        <v>1.858002E-4</v>
      </c>
      <c r="I1" t="s">
        <v>14</v>
      </c>
    </row>
    <row r="2" spans="1:9" x14ac:dyDescent="0.25">
      <c r="B2">
        <v>10</v>
      </c>
      <c r="C2">
        <v>250</v>
      </c>
      <c r="G2" t="s">
        <v>15</v>
      </c>
      <c r="H2">
        <v>20</v>
      </c>
      <c r="I2" t="s">
        <v>16</v>
      </c>
    </row>
    <row r="4" spans="1:9" x14ac:dyDescent="0.25">
      <c r="A4" t="s">
        <v>4</v>
      </c>
      <c r="B4" t="s">
        <v>7</v>
      </c>
      <c r="C4">
        <v>1.62</v>
      </c>
    </row>
    <row r="5" spans="1:9" x14ac:dyDescent="0.25">
      <c r="A5" t="s">
        <v>5</v>
      </c>
      <c r="B5" t="s">
        <v>2</v>
      </c>
      <c r="C5" t="s">
        <v>3</v>
      </c>
      <c r="E5" t="s">
        <v>6</v>
      </c>
    </row>
    <row r="6" spans="1:9" x14ac:dyDescent="0.25">
      <c r="A6">
        <v>0</v>
      </c>
      <c r="B6">
        <v>1.6E-2</v>
      </c>
      <c r="C6">
        <f t="shared" ref="C6:C12" si="0">B6/$B$2*$C$2</f>
        <v>0.4</v>
      </c>
      <c r="E6">
        <f t="shared" ref="E6:E12" si="1">C6-$C$6</f>
        <v>0</v>
      </c>
    </row>
    <row r="7" spans="1:9" x14ac:dyDescent="0.25">
      <c r="A7">
        <v>20</v>
      </c>
      <c r="B7">
        <v>1.6400000000000001E-2</v>
      </c>
      <c r="C7">
        <f t="shared" si="0"/>
        <v>0.41000000000000003</v>
      </c>
      <c r="E7">
        <f t="shared" si="1"/>
        <v>1.0000000000000009E-2</v>
      </c>
    </row>
    <row r="8" spans="1:9" x14ac:dyDescent="0.25">
      <c r="A8">
        <v>50</v>
      </c>
      <c r="B8">
        <v>1.67E-2</v>
      </c>
      <c r="C8">
        <f t="shared" si="0"/>
        <v>0.41750000000000004</v>
      </c>
      <c r="E8">
        <f t="shared" si="1"/>
        <v>1.7500000000000016E-2</v>
      </c>
    </row>
    <row r="9" spans="1:9" x14ac:dyDescent="0.25">
      <c r="A9">
        <v>100</v>
      </c>
      <c r="B9">
        <v>1.72E-2</v>
      </c>
      <c r="C9">
        <f t="shared" si="0"/>
        <v>0.43</v>
      </c>
      <c r="E9">
        <f t="shared" si="1"/>
        <v>2.9999999999999971E-2</v>
      </c>
    </row>
    <row r="10" spans="1:9" x14ac:dyDescent="0.25">
      <c r="A10">
        <v>250</v>
      </c>
      <c r="B10">
        <v>1.9E-2</v>
      </c>
      <c r="C10">
        <f t="shared" si="0"/>
        <v>0.47499999999999998</v>
      </c>
      <c r="D10" s="1"/>
      <c r="E10">
        <f t="shared" si="1"/>
        <v>7.4999999999999956E-2</v>
      </c>
    </row>
    <row r="11" spans="1:9" x14ac:dyDescent="0.25">
      <c r="A11">
        <v>400</v>
      </c>
      <c r="B11">
        <v>0.02</v>
      </c>
      <c r="C11">
        <f t="shared" si="0"/>
        <v>0.5</v>
      </c>
      <c r="D11" s="1"/>
      <c r="E11">
        <f t="shared" si="1"/>
        <v>9.9999999999999978E-2</v>
      </c>
    </row>
    <row r="12" spans="1:9" x14ac:dyDescent="0.25">
      <c r="A12">
        <v>1000</v>
      </c>
      <c r="B12">
        <v>2.9000000000000001E-2</v>
      </c>
      <c r="C12">
        <f t="shared" si="0"/>
        <v>0.72500000000000009</v>
      </c>
      <c r="E12">
        <f t="shared" si="1"/>
        <v>0.32500000000000007</v>
      </c>
    </row>
    <row r="14" spans="1:9" x14ac:dyDescent="0.25">
      <c r="A14" t="s">
        <v>0</v>
      </c>
      <c r="B14">
        <v>7.5</v>
      </c>
      <c r="C14" t="s">
        <v>8</v>
      </c>
      <c r="D14">
        <f>PI()/4*C4^2*B14</f>
        <v>15.458992050151977</v>
      </c>
      <c r="E14" t="s">
        <v>10</v>
      </c>
    </row>
    <row r="15" spans="1:9" x14ac:dyDescent="0.25">
      <c r="B15">
        <v>8.0299999999999994</v>
      </c>
      <c r="C15" t="s">
        <v>9</v>
      </c>
      <c r="D15">
        <f>B15/D14</f>
        <v>0.51943878190435167</v>
      </c>
      <c r="E15" t="s">
        <v>11</v>
      </c>
    </row>
    <row r="17" spans="1:6" x14ac:dyDescent="0.25">
      <c r="A17" s="2" t="s">
        <v>5</v>
      </c>
      <c r="B17" s="3" t="s">
        <v>2</v>
      </c>
      <c r="C17" s="3" t="s">
        <v>3</v>
      </c>
      <c r="D17" s="2" t="s">
        <v>18</v>
      </c>
      <c r="E17" s="3" t="s">
        <v>6</v>
      </c>
      <c r="F17" s="2" t="s">
        <v>17</v>
      </c>
    </row>
    <row r="18" spans="1:6" x14ac:dyDescent="0.25">
      <c r="A18" s="2">
        <v>0</v>
      </c>
      <c r="B18" s="3">
        <v>1.6199999999999999E-2</v>
      </c>
      <c r="C18" s="3">
        <f t="shared" ref="C18:C24" si="2">B18/$B$2*$C$2</f>
        <v>0.40499999999999997</v>
      </c>
      <c r="D18" s="4">
        <f>A18/273.15*($H$2+273.15)*0.0000000166666/$H$1</f>
        <v>0</v>
      </c>
      <c r="E18" s="3">
        <f t="shared" ref="E18:E24" si="3">C18-C6</f>
        <v>4.9999999999999489E-3</v>
      </c>
      <c r="F18" s="2">
        <f>100*E18</f>
        <v>0.49999999999999489</v>
      </c>
    </row>
    <row r="19" spans="1:6" x14ac:dyDescent="0.25">
      <c r="A19" s="2">
        <v>20</v>
      </c>
      <c r="B19" s="3">
        <v>1.66E-2</v>
      </c>
      <c r="C19" s="3">
        <f t="shared" si="2"/>
        <v>0.41499999999999998</v>
      </c>
      <c r="D19" s="4">
        <f t="shared" ref="D19:D24" si="4">A19/273.15*($H$2+273.15)*0.0000000166666/$H$1</f>
        <v>1.9253936032684001E-3</v>
      </c>
      <c r="E19" s="3">
        <f t="shared" si="3"/>
        <v>4.9999999999999489E-3</v>
      </c>
      <c r="F19" s="2">
        <f t="shared" ref="F19:F24" si="5">100*E19</f>
        <v>0.49999999999999489</v>
      </c>
    </row>
    <row r="20" spans="1:6" x14ac:dyDescent="0.25">
      <c r="A20" s="2">
        <v>50</v>
      </c>
      <c r="B20" s="3">
        <v>1.7000000000000001E-2</v>
      </c>
      <c r="C20" s="3">
        <f t="shared" si="2"/>
        <v>0.42500000000000004</v>
      </c>
      <c r="D20" s="4">
        <f t="shared" si="4"/>
        <v>4.813484008171001E-3</v>
      </c>
      <c r="E20" s="3">
        <f t="shared" si="3"/>
        <v>7.5000000000000067E-3</v>
      </c>
      <c r="F20" s="2">
        <f t="shared" si="5"/>
        <v>0.75000000000000067</v>
      </c>
    </row>
    <row r="21" spans="1:6" x14ac:dyDescent="0.25">
      <c r="A21" s="2">
        <v>100</v>
      </c>
      <c r="B21" s="3">
        <v>1.78E-2</v>
      </c>
      <c r="C21" s="3">
        <f t="shared" si="2"/>
        <v>0.44499999999999995</v>
      </c>
      <c r="D21" s="4">
        <f t="shared" si="4"/>
        <v>9.626968016342002E-3</v>
      </c>
      <c r="E21" s="3">
        <f t="shared" si="3"/>
        <v>1.4999999999999958E-2</v>
      </c>
      <c r="F21" s="2">
        <f t="shared" si="5"/>
        <v>1.4999999999999958</v>
      </c>
    </row>
    <row r="22" spans="1:6" x14ac:dyDescent="0.25">
      <c r="A22" s="2">
        <v>250</v>
      </c>
      <c r="B22" s="3">
        <v>0.02</v>
      </c>
      <c r="C22" s="3">
        <f t="shared" si="2"/>
        <v>0.5</v>
      </c>
      <c r="D22" s="4">
        <f t="shared" si="4"/>
        <v>2.4067420040855002E-2</v>
      </c>
      <c r="E22" s="3">
        <f t="shared" si="3"/>
        <v>2.5000000000000022E-2</v>
      </c>
      <c r="F22" s="2">
        <f t="shared" si="5"/>
        <v>2.5000000000000022</v>
      </c>
    </row>
    <row r="23" spans="1:6" x14ac:dyDescent="0.25">
      <c r="A23" s="2">
        <v>400</v>
      </c>
      <c r="B23" s="3">
        <v>2.3E-2</v>
      </c>
      <c r="C23" s="3">
        <f t="shared" si="2"/>
        <v>0.57499999999999996</v>
      </c>
      <c r="D23" s="4">
        <f t="shared" si="4"/>
        <v>3.8507872065368008E-2</v>
      </c>
      <c r="E23" s="3">
        <f t="shared" si="3"/>
        <v>7.4999999999999956E-2</v>
      </c>
      <c r="F23" s="2">
        <f t="shared" si="5"/>
        <v>7.4999999999999956</v>
      </c>
    </row>
    <row r="24" spans="1:6" x14ac:dyDescent="0.25">
      <c r="A24" s="2">
        <v>1000</v>
      </c>
      <c r="B24" s="3">
        <v>3.5999999999999997E-2</v>
      </c>
      <c r="C24" s="3">
        <f t="shared" si="2"/>
        <v>0.9</v>
      </c>
      <c r="D24" s="4">
        <f t="shared" si="4"/>
        <v>9.626968016342001E-2</v>
      </c>
      <c r="E24" s="3">
        <f t="shared" si="3"/>
        <v>0.17499999999999993</v>
      </c>
      <c r="F24" s="2">
        <f t="shared" si="5"/>
        <v>17.499999999999993</v>
      </c>
    </row>
    <row r="27" spans="1:6" x14ac:dyDescent="0.25">
      <c r="A27" t="s">
        <v>1</v>
      </c>
      <c r="B27">
        <v>9.5</v>
      </c>
      <c r="C27" t="s">
        <v>8</v>
      </c>
      <c r="D27">
        <f>PI()/4*C4^2*B27</f>
        <v>19.581389930192504</v>
      </c>
      <c r="E27" t="s">
        <v>12</v>
      </c>
    </row>
    <row r="28" spans="1:6" x14ac:dyDescent="0.25">
      <c r="B28">
        <v>10.244</v>
      </c>
      <c r="C28" t="s">
        <v>9</v>
      </c>
      <c r="D28">
        <f>B28/D27</f>
        <v>0.52314978847363625</v>
      </c>
      <c r="E28" t="s">
        <v>11</v>
      </c>
    </row>
    <row r="30" spans="1:6" x14ac:dyDescent="0.25">
      <c r="A30" t="s">
        <v>5</v>
      </c>
      <c r="B30" t="s">
        <v>2</v>
      </c>
      <c r="C30" t="s">
        <v>3</v>
      </c>
      <c r="E30" t="s">
        <v>6</v>
      </c>
    </row>
    <row r="31" spans="1:6" x14ac:dyDescent="0.25">
      <c r="A31">
        <v>0</v>
      </c>
      <c r="B31">
        <v>1.6299999999999999E-2</v>
      </c>
      <c r="C31">
        <f t="shared" ref="C31:C37" si="6">B31/$B$2*$C$2</f>
        <v>0.40749999999999997</v>
      </c>
      <c r="E31">
        <f t="shared" ref="E31:E37" si="7">C31-C6</f>
        <v>7.4999999999999512E-3</v>
      </c>
    </row>
    <row r="32" spans="1:6" x14ac:dyDescent="0.25">
      <c r="A32">
        <v>20</v>
      </c>
      <c r="B32">
        <v>1.66E-2</v>
      </c>
      <c r="C32">
        <f t="shared" si="6"/>
        <v>0.41499999999999998</v>
      </c>
      <c r="E32">
        <f t="shared" si="7"/>
        <v>4.9999999999999489E-3</v>
      </c>
    </row>
    <row r="33" spans="1:5" x14ac:dyDescent="0.25">
      <c r="A33">
        <v>50</v>
      </c>
      <c r="B33">
        <v>1.72E-2</v>
      </c>
      <c r="C33">
        <f t="shared" si="6"/>
        <v>0.43</v>
      </c>
      <c r="E33">
        <f t="shared" si="7"/>
        <v>1.2499999999999956E-2</v>
      </c>
    </row>
    <row r="34" spans="1:5" x14ac:dyDescent="0.25">
      <c r="A34">
        <v>100</v>
      </c>
      <c r="B34">
        <v>1.8200000000000001E-2</v>
      </c>
      <c r="C34">
        <f t="shared" si="6"/>
        <v>0.45500000000000002</v>
      </c>
      <c r="E34">
        <f t="shared" si="7"/>
        <v>2.5000000000000022E-2</v>
      </c>
    </row>
    <row r="35" spans="1:5" x14ac:dyDescent="0.25">
      <c r="A35">
        <v>250</v>
      </c>
      <c r="B35">
        <v>2.1000000000000001E-2</v>
      </c>
      <c r="C35">
        <f t="shared" si="6"/>
        <v>0.52500000000000002</v>
      </c>
      <c r="E35">
        <f t="shared" si="7"/>
        <v>5.0000000000000044E-2</v>
      </c>
    </row>
    <row r="36" spans="1:5" x14ac:dyDescent="0.25">
      <c r="A36">
        <v>400</v>
      </c>
      <c r="B36">
        <v>2.3800000000000002E-2</v>
      </c>
      <c r="C36">
        <f t="shared" si="6"/>
        <v>0.59500000000000008</v>
      </c>
      <c r="E36">
        <f t="shared" si="7"/>
        <v>9.5000000000000084E-2</v>
      </c>
    </row>
    <row r="37" spans="1:5" x14ac:dyDescent="0.25">
      <c r="A37">
        <v>1000</v>
      </c>
      <c r="B37">
        <v>3.7999999999999999E-2</v>
      </c>
      <c r="C37">
        <f t="shared" si="6"/>
        <v>0.95</v>
      </c>
      <c r="E37">
        <f t="shared" si="7"/>
        <v>0.22499999999999987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Pressure loss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Mettke, Judith</dc:creator>
  <cp:lastModifiedBy>Ganzer, Gregor</cp:lastModifiedBy>
  <dcterms:created xsi:type="dcterms:W3CDTF">2025-04-09T09:06:11Z</dcterms:created>
  <dcterms:modified xsi:type="dcterms:W3CDTF">2025-05-21T06:31:00Z</dcterms:modified>
</cp:coreProperties>
</file>