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U:\Zuarbeit Schüttsimulation\"/>
    </mc:Choice>
  </mc:AlternateContent>
  <xr:revisionPtr revIDLastSave="0" documentId="13_ncr:1_{B92CEBEF-1607-4D9B-A861-4DE20F7E6A86}" xr6:coauthVersionLast="47" xr6:coauthVersionMax="47" xr10:uidLastSave="{00000000-0000-0000-0000-000000000000}"/>
  <bookViews>
    <workbookView xWindow="-120" yWindow="-120" windowWidth="25440" windowHeight="15270" activeTab="1" xr2:uid="{FA6844DE-E1AD-4D2C-8114-7B02EA65496A}"/>
  </bookViews>
  <sheets>
    <sheet name="Pressure loss" sheetId="1" r:id="rId1"/>
    <sheet name="Pressure loss_high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2" l="1"/>
  <c r="K34" i="2"/>
  <c r="K35" i="2"/>
  <c r="K36" i="2"/>
  <c r="K37" i="2"/>
  <c r="K38" i="2"/>
  <c r="K39" i="2"/>
  <c r="K32" i="2"/>
  <c r="I32" i="2"/>
  <c r="J29" i="2"/>
  <c r="I39" i="2"/>
  <c r="I38" i="2"/>
  <c r="I37" i="2"/>
  <c r="I36" i="2"/>
  <c r="I35" i="2"/>
  <c r="I34" i="2"/>
  <c r="I33" i="2"/>
  <c r="K24" i="2"/>
  <c r="K25" i="2"/>
  <c r="K26" i="2"/>
  <c r="J16" i="2"/>
  <c r="I26" i="2"/>
  <c r="I25" i="2"/>
  <c r="I24" i="2"/>
  <c r="I23" i="2"/>
  <c r="K23" i="2" s="1"/>
  <c r="I22" i="2"/>
  <c r="K22" i="2" s="1"/>
  <c r="I21" i="2"/>
  <c r="K21" i="2" s="1"/>
  <c r="I20" i="2"/>
  <c r="K20" i="2" s="1"/>
  <c r="I19" i="2"/>
  <c r="K19" i="2" s="1"/>
  <c r="K8" i="2"/>
  <c r="K9" i="2"/>
  <c r="K10" i="2"/>
  <c r="K11" i="2"/>
  <c r="K12" i="2"/>
  <c r="K13" i="2"/>
  <c r="K14" i="2"/>
  <c r="K7" i="2"/>
  <c r="E6" i="2"/>
  <c r="I8" i="2"/>
  <c r="I9" i="2"/>
  <c r="I10" i="2"/>
  <c r="I11" i="2"/>
  <c r="I12" i="2"/>
  <c r="I13" i="2"/>
  <c r="I14" i="2"/>
  <c r="I7" i="2"/>
  <c r="C6" i="2"/>
  <c r="D29" i="2"/>
  <c r="D16" i="2"/>
  <c r="C33" i="2"/>
  <c r="E33" i="2" s="1"/>
  <c r="C34" i="2"/>
  <c r="E34" i="2" s="1"/>
  <c r="C35" i="2"/>
  <c r="E35" i="2" s="1"/>
  <c r="C36" i="2"/>
  <c r="E36" i="2" s="1"/>
  <c r="C37" i="2"/>
  <c r="E37" i="2" s="1"/>
  <c r="C38" i="2"/>
  <c r="E38" i="2" s="1"/>
  <c r="C39" i="2"/>
  <c r="E39" i="2" s="1"/>
  <c r="C32" i="2"/>
  <c r="E32" i="2"/>
  <c r="C26" i="2"/>
  <c r="E26" i="2" s="1"/>
  <c r="C13" i="2"/>
  <c r="C19" i="2"/>
  <c r="C25" i="2"/>
  <c r="E25" i="2" s="1"/>
  <c r="C24" i="2"/>
  <c r="E24" i="2" s="1"/>
  <c r="C23" i="2"/>
  <c r="C22" i="2"/>
  <c r="C21" i="2"/>
  <c r="C20" i="2"/>
  <c r="C12" i="2"/>
  <c r="C11" i="2"/>
  <c r="C10" i="2"/>
  <c r="C9" i="2"/>
  <c r="C8" i="2"/>
  <c r="C7" i="2"/>
  <c r="D28" i="1"/>
  <c r="D27" i="1"/>
  <c r="D15" i="1"/>
  <c r="D14" i="1"/>
  <c r="C6" i="1"/>
  <c r="E6" i="1" s="1"/>
  <c r="C24" i="1"/>
  <c r="C7" i="1"/>
  <c r="C8" i="1"/>
  <c r="C9" i="1"/>
  <c r="C10" i="1"/>
  <c r="C11" i="1"/>
  <c r="C12" i="1"/>
  <c r="C19" i="1"/>
  <c r="C20" i="1"/>
  <c r="C21" i="1"/>
  <c r="C22" i="1"/>
  <c r="C23" i="1"/>
  <c r="C18" i="1"/>
  <c r="C32" i="1"/>
  <c r="C33" i="1"/>
  <c r="C34" i="1"/>
  <c r="C35" i="1"/>
  <c r="C36" i="1"/>
  <c r="C37" i="1"/>
  <c r="C31" i="1"/>
  <c r="E22" i="2" l="1"/>
  <c r="E8" i="2"/>
  <c r="E11" i="2"/>
  <c r="E19" i="2"/>
  <c r="E13" i="2"/>
  <c r="E7" i="2"/>
  <c r="E23" i="2"/>
  <c r="E21" i="2"/>
  <c r="E20" i="2"/>
  <c r="E10" i="2"/>
  <c r="E12" i="2"/>
  <c r="E9" i="2"/>
  <c r="E20" i="1"/>
  <c r="E7" i="1"/>
  <c r="E18" i="1"/>
  <c r="E9" i="1"/>
  <c r="E22" i="1"/>
  <c r="E24" i="1"/>
  <c r="E31" i="1"/>
  <c r="E32" i="1"/>
  <c r="E11" i="1"/>
  <c r="E36" i="1"/>
  <c r="E23" i="1"/>
  <c r="E37" i="1"/>
  <c r="E21" i="1"/>
  <c r="E35" i="1"/>
  <c r="E34" i="1"/>
  <c r="E19" i="1"/>
  <c r="E33" i="1"/>
  <c r="E8" i="1"/>
  <c r="E12" i="1"/>
  <c r="E10" i="1"/>
</calcChain>
</file>

<file path=xl/sharedStrings.xml><?xml version="1.0" encoding="utf-8"?>
<sst xmlns="http://schemas.openxmlformats.org/spreadsheetml/2006/main" count="68" uniqueCount="15">
  <si>
    <t>Hollow Cylinder</t>
  </si>
  <si>
    <t>Triobe</t>
  </si>
  <si>
    <t>V</t>
  </si>
  <si>
    <t>mbar</t>
  </si>
  <si>
    <t>Empty</t>
  </si>
  <si>
    <t>V / NmL/min</t>
  </si>
  <si>
    <t>Δp / mbar</t>
  </si>
  <si>
    <t>d/ cm</t>
  </si>
  <si>
    <t>cm</t>
  </si>
  <si>
    <t>g</t>
  </si>
  <si>
    <r>
      <t>cm</t>
    </r>
    <r>
      <rPr>
        <i/>
        <sz val="11"/>
        <color theme="1"/>
        <rFont val="Calibri"/>
        <family val="2"/>
      </rPr>
      <t>3</t>
    </r>
  </si>
  <si>
    <t>g/cm^3</t>
  </si>
  <si>
    <t>cm^3</t>
  </si>
  <si>
    <t>d/ cm_insert</t>
  </si>
  <si>
    <t>Trilobe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</si>
</sst>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2" fillId="0" borderId="0" xfId="1"/>
  </cellXfs>
  <cellStyles count="2">
    <cellStyle name="Default" xfId="1" xr:uid="{1B2135FF-A0F7-4D62-AA00-BE3D0A506868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Trilobe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xVal>
            <c:numRef>
              <c:f>'Pressure loss_highflow'!$A$19:$A$26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loss_highflow'!$E$19:$E$26</c:f>
              <c:numCache>
                <c:formatCode>General</c:formatCode>
                <c:ptCount val="8"/>
                <c:pt idx="0">
                  <c:v>0</c:v>
                </c:pt>
                <c:pt idx="1">
                  <c:v>0.42500000000000004</c:v>
                </c:pt>
                <c:pt idx="2">
                  <c:v>0.72500000000000009</c:v>
                </c:pt>
                <c:pt idx="3">
                  <c:v>1.5750000000000002</c:v>
                </c:pt>
                <c:pt idx="4">
                  <c:v>5.3000000000000007</c:v>
                </c:pt>
                <c:pt idx="5">
                  <c:v>16.375</c:v>
                </c:pt>
                <c:pt idx="6">
                  <c:v>58.4</c:v>
                </c:pt>
                <c:pt idx="7">
                  <c:v>116.125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18C-442D-969C-7E99A4EA576A}"/>
            </c:ext>
          </c:extLst>
        </c:ser>
        <c:ser>
          <c:idx val="1"/>
          <c:order val="1"/>
          <c:xVal>
            <c:numRef>
              <c:f>'Pressure loss_highflow'!$A$6:$A$13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loss_highflow'!$E$6:$E$13</c:f>
              <c:numCache>
                <c:formatCode>General</c:formatCode>
                <c:ptCount val="8"/>
                <c:pt idx="0">
                  <c:v>0</c:v>
                </c:pt>
                <c:pt idx="1">
                  <c:v>9.9999999999999922E-2</c:v>
                </c:pt>
                <c:pt idx="2">
                  <c:v>0.17499999999999999</c:v>
                </c:pt>
                <c:pt idx="3">
                  <c:v>0.40000000000000008</c:v>
                </c:pt>
                <c:pt idx="4">
                  <c:v>1.1500000000000001</c:v>
                </c:pt>
                <c:pt idx="5">
                  <c:v>3.0999999999999996</c:v>
                </c:pt>
                <c:pt idx="6">
                  <c:v>9.4000000000000021</c:v>
                </c:pt>
                <c:pt idx="7">
                  <c:v>17.925000000000001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18C-442D-969C-7E99A4EA576A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'Pressure loss_highflow'!$A$32:$A$39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loss_highflow'!$E$32:$E$39</c:f>
              <c:numCache>
                <c:formatCode>General</c:formatCode>
                <c:ptCount val="8"/>
                <c:pt idx="0">
                  <c:v>0</c:v>
                </c:pt>
                <c:pt idx="1">
                  <c:v>0.4</c:v>
                </c:pt>
                <c:pt idx="2">
                  <c:v>0.77499999999999991</c:v>
                </c:pt>
                <c:pt idx="3">
                  <c:v>2</c:v>
                </c:pt>
                <c:pt idx="4">
                  <c:v>7.85</c:v>
                </c:pt>
                <c:pt idx="5">
                  <c:v>23.950000000000003</c:v>
                </c:pt>
                <c:pt idx="6">
                  <c:v>75.149999999999977</c:v>
                </c:pt>
                <c:pt idx="7">
                  <c:v>139.375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18C-442D-969C-7E99A4EA5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656608"/>
        <c:axId val="1107655168"/>
      </c:scatterChart>
      <c:valAx>
        <c:axId val="110765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7655168"/>
        <c:crosses val="autoZero"/>
        <c:crossBetween val="midCat"/>
      </c:valAx>
      <c:valAx>
        <c:axId val="11076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76566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Hollow Cylinder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xVal>
            <c:numRef>
              <c:f>'Pressure loss_highflow'!$A$19:$A$26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loss_highflow'!$K$19:$K$26</c:f>
              <c:numCache>
                <c:formatCode>General</c:formatCode>
                <c:ptCount val="8"/>
                <c:pt idx="0">
                  <c:v>0</c:v>
                </c:pt>
                <c:pt idx="1">
                  <c:v>9.4999999999999918E-2</c:v>
                </c:pt>
                <c:pt idx="2">
                  <c:v>0.28249999999999997</c:v>
                </c:pt>
                <c:pt idx="3">
                  <c:v>0.87499999999999989</c:v>
                </c:pt>
                <c:pt idx="4">
                  <c:v>3.3750000000000004</c:v>
                </c:pt>
                <c:pt idx="5">
                  <c:v>10.324999999999999</c:v>
                </c:pt>
                <c:pt idx="6">
                  <c:v>32.699999999999996</c:v>
                </c:pt>
                <c:pt idx="7">
                  <c:v>60.924999999999983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6A-4883-8B9D-F55C81E62C9F}"/>
            </c:ext>
          </c:extLst>
        </c:ser>
        <c:ser>
          <c:idx val="1"/>
          <c:order val="1"/>
          <c:xVal>
            <c:numRef>
              <c:f>'Pressure loss_highflow'!$A$6:$A$13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loss_highflow'!$K$7:$K$14</c:f>
              <c:numCache>
                <c:formatCode>General</c:formatCode>
                <c:ptCount val="8"/>
                <c:pt idx="0">
                  <c:v>0</c:v>
                </c:pt>
                <c:pt idx="1">
                  <c:v>2.9999999999999971E-2</c:v>
                </c:pt>
                <c:pt idx="2">
                  <c:v>4.2499999999999982E-2</c:v>
                </c:pt>
                <c:pt idx="3">
                  <c:v>9.9999999999999978E-2</c:v>
                </c:pt>
                <c:pt idx="4">
                  <c:v>0.47499999999999998</c:v>
                </c:pt>
                <c:pt idx="5">
                  <c:v>1.375</c:v>
                </c:pt>
                <c:pt idx="6">
                  <c:v>4.45</c:v>
                </c:pt>
                <c:pt idx="7">
                  <c:v>8.6499999999999986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6A-4883-8B9D-F55C81E62C9F}"/>
            </c:ext>
          </c:extLst>
        </c:ser>
        <c:ser>
          <c:idx val="0"/>
          <c:order val="2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'Pressure loss_highflow'!$A$32:$A$39</c:f>
              <c:numCache>
                <c:formatCode>General</c:formatCode>
                <c:ptCount val="8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5000</c:v>
                </c:pt>
                <c:pt idx="5">
                  <c:v>10000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xVal>
          <c:yVal>
            <c:numRef>
              <c:f>'Pressure loss_highflow'!$K$32:$K$39</c:f>
              <c:numCache>
                <c:formatCode>General</c:formatCode>
                <c:ptCount val="8"/>
                <c:pt idx="0">
                  <c:v>0</c:v>
                </c:pt>
                <c:pt idx="1">
                  <c:v>0.36999999999999994</c:v>
                </c:pt>
                <c:pt idx="2">
                  <c:v>0.70750000000000002</c:v>
                </c:pt>
                <c:pt idx="3">
                  <c:v>1.8250000000000002</c:v>
                </c:pt>
                <c:pt idx="4">
                  <c:v>6.9749999999999996</c:v>
                </c:pt>
                <c:pt idx="5">
                  <c:v>21.175000000000001</c:v>
                </c:pt>
                <c:pt idx="6">
                  <c:v>67.125</c:v>
                </c:pt>
                <c:pt idx="7">
                  <c:v>125.925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6A-4883-8B9D-F55C81E62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656608"/>
        <c:axId val="1107655168"/>
      </c:scatterChart>
      <c:valAx>
        <c:axId val="110765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7655168"/>
        <c:crosses val="autoZero"/>
        <c:crossBetween val="midCat"/>
      </c:valAx>
      <c:valAx>
        <c:axId val="11076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76566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26</xdr:row>
      <xdr:rowOff>127217</xdr:rowOff>
    </xdr:from>
    <xdr:to>
      <xdr:col>8</xdr:col>
      <xdr:colOff>314325</xdr:colOff>
      <xdr:row>41</xdr:row>
      <xdr:rowOff>180975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0B07F02-A4E2-5FC6-32B0-42015BCCD1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91" t="6562" r="24375" b="24479"/>
        <a:stretch/>
      </xdr:blipFill>
      <xdr:spPr bwMode="auto">
        <a:xfrm>
          <a:off x="4695825" y="5080217"/>
          <a:ext cx="2124075" cy="2911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514350</xdr:colOff>
      <xdr:row>13</xdr:row>
      <xdr:rowOff>95250</xdr:rowOff>
    </xdr:from>
    <xdr:to>
      <xdr:col>8</xdr:col>
      <xdr:colOff>212029</xdr:colOff>
      <xdr:row>25</xdr:row>
      <xdr:rowOff>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97368F2-A7AC-F521-FB99-E98655544F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90" t="-192" r="15469" b="23202"/>
        <a:stretch/>
      </xdr:blipFill>
      <xdr:spPr bwMode="auto">
        <a:xfrm>
          <a:off x="4733925" y="2571750"/>
          <a:ext cx="1983679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5</xdr:row>
      <xdr:rowOff>47625</xdr:rowOff>
    </xdr:from>
    <xdr:to>
      <xdr:col>17</xdr:col>
      <xdr:colOff>333375</xdr:colOff>
      <xdr:row>19</xdr:row>
      <xdr:rowOff>123825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863BF0F-6E80-96A5-1147-C9EF9E507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381000</xdr:colOff>
      <xdr:row>22</xdr:row>
      <xdr:rowOff>114300</xdr:rowOff>
    </xdr:from>
    <xdr:to>
      <xdr:col>17</xdr:col>
      <xdr:colOff>381000</xdr:colOff>
      <xdr:row>37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DB8F5DD-33AE-4C29-A32E-54F20D99F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934F-D4B7-4244-A046-58376CF789B4}">
  <dimension ref="A1:E37"/>
  <sheetViews>
    <sheetView topLeftCell="A14" workbookViewId="0">
      <selection activeCell="D49" sqref="D49"/>
    </sheetView>
  </sheetViews>
  <sheetFormatPr baseColWidth="10" defaultRowHeight="15"/>
  <cols>
    <col min="1" max="1" width="17.5703125" customWidth="1"/>
  </cols>
  <sheetData>
    <row r="1" spans="1:5">
      <c r="B1" t="s">
        <v>2</v>
      </c>
      <c r="C1" t="s">
        <v>3</v>
      </c>
    </row>
    <row r="2" spans="1:5">
      <c r="B2">
        <v>10</v>
      </c>
      <c r="C2">
        <v>250</v>
      </c>
    </row>
    <row r="4" spans="1:5">
      <c r="A4" t="s">
        <v>4</v>
      </c>
      <c r="B4" t="s">
        <v>7</v>
      </c>
      <c r="C4">
        <v>1.62</v>
      </c>
    </row>
    <row r="5" spans="1:5">
      <c r="A5" t="s">
        <v>5</v>
      </c>
      <c r="B5" t="s">
        <v>2</v>
      </c>
      <c r="C5" t="s">
        <v>3</v>
      </c>
      <c r="E5" t="s">
        <v>6</v>
      </c>
    </row>
    <row r="6" spans="1:5">
      <c r="A6">
        <v>0</v>
      </c>
      <c r="B6">
        <v>1.6E-2</v>
      </c>
      <c r="C6">
        <f t="shared" ref="C6:C12" si="0">B6/$B$2*$C$2</f>
        <v>0.4</v>
      </c>
      <c r="E6">
        <f t="shared" ref="E6:E12" si="1">C6-$C$6</f>
        <v>0</v>
      </c>
    </row>
    <row r="7" spans="1:5">
      <c r="A7">
        <v>20</v>
      </c>
      <c r="B7">
        <v>1.6400000000000001E-2</v>
      </c>
      <c r="C7">
        <f t="shared" si="0"/>
        <v>0.41000000000000003</v>
      </c>
      <c r="E7">
        <f t="shared" si="1"/>
        <v>1.0000000000000009E-2</v>
      </c>
    </row>
    <row r="8" spans="1:5">
      <c r="A8">
        <v>50</v>
      </c>
      <c r="B8">
        <v>1.67E-2</v>
      </c>
      <c r="C8">
        <f t="shared" si="0"/>
        <v>0.41750000000000004</v>
      </c>
      <c r="E8">
        <f t="shared" si="1"/>
        <v>1.7500000000000016E-2</v>
      </c>
    </row>
    <row r="9" spans="1:5">
      <c r="A9">
        <v>100</v>
      </c>
      <c r="B9">
        <v>1.72E-2</v>
      </c>
      <c r="C9">
        <f t="shared" si="0"/>
        <v>0.43</v>
      </c>
      <c r="E9">
        <f t="shared" si="1"/>
        <v>2.9999999999999971E-2</v>
      </c>
    </row>
    <row r="10" spans="1:5">
      <c r="A10">
        <v>250</v>
      </c>
      <c r="B10">
        <v>1.9E-2</v>
      </c>
      <c r="C10">
        <f t="shared" si="0"/>
        <v>0.47499999999999998</v>
      </c>
      <c r="D10" s="1"/>
      <c r="E10">
        <f t="shared" si="1"/>
        <v>7.4999999999999956E-2</v>
      </c>
    </row>
    <row r="11" spans="1:5">
      <c r="A11">
        <v>400</v>
      </c>
      <c r="B11">
        <v>0.02</v>
      </c>
      <c r="C11">
        <f t="shared" si="0"/>
        <v>0.5</v>
      </c>
      <c r="D11" s="1"/>
      <c r="E11">
        <f t="shared" si="1"/>
        <v>9.9999999999999978E-2</v>
      </c>
    </row>
    <row r="12" spans="1:5">
      <c r="A12">
        <v>1000</v>
      </c>
      <c r="B12">
        <v>2.9000000000000001E-2</v>
      </c>
      <c r="C12">
        <f t="shared" si="0"/>
        <v>0.72500000000000009</v>
      </c>
      <c r="E12">
        <f t="shared" si="1"/>
        <v>0.32500000000000007</v>
      </c>
    </row>
    <row r="14" spans="1:5">
      <c r="A14" t="s">
        <v>0</v>
      </c>
      <c r="B14">
        <v>7.5</v>
      </c>
      <c r="C14" t="s">
        <v>8</v>
      </c>
      <c r="D14">
        <f>PI()/4*C4^2*B14</f>
        <v>15.458992050151977</v>
      </c>
      <c r="E14" t="s">
        <v>10</v>
      </c>
    </row>
    <row r="15" spans="1:5">
      <c r="B15">
        <v>8.0299999999999994</v>
      </c>
      <c r="C15" t="s">
        <v>9</v>
      </c>
      <c r="D15">
        <f>B15/D14</f>
        <v>0.51943878190435167</v>
      </c>
      <c r="E15" t="s">
        <v>11</v>
      </c>
    </row>
    <row r="17" spans="1:5">
      <c r="A17" t="s">
        <v>5</v>
      </c>
      <c r="B17" t="s">
        <v>2</v>
      </c>
      <c r="C17" t="s">
        <v>3</v>
      </c>
      <c r="E17" t="s">
        <v>6</v>
      </c>
    </row>
    <row r="18" spans="1:5">
      <c r="A18">
        <v>0</v>
      </c>
      <c r="B18">
        <v>1.6199999999999999E-2</v>
      </c>
      <c r="C18">
        <f t="shared" ref="C18:C24" si="2">B18/$B$2*$C$2</f>
        <v>0.40499999999999997</v>
      </c>
      <c r="E18">
        <f t="shared" ref="E18:E24" si="3">C18-C6</f>
        <v>4.9999999999999489E-3</v>
      </c>
    </row>
    <row r="19" spans="1:5">
      <c r="A19">
        <v>20</v>
      </c>
      <c r="B19">
        <v>1.66E-2</v>
      </c>
      <c r="C19">
        <f t="shared" si="2"/>
        <v>0.41499999999999998</v>
      </c>
      <c r="E19">
        <f t="shared" si="3"/>
        <v>4.9999999999999489E-3</v>
      </c>
    </row>
    <row r="20" spans="1:5">
      <c r="A20">
        <v>50</v>
      </c>
      <c r="B20">
        <v>1.7000000000000001E-2</v>
      </c>
      <c r="C20">
        <f t="shared" si="2"/>
        <v>0.42500000000000004</v>
      </c>
      <c r="E20">
        <f t="shared" si="3"/>
        <v>7.5000000000000067E-3</v>
      </c>
    </row>
    <row r="21" spans="1:5">
      <c r="A21">
        <v>100</v>
      </c>
      <c r="B21">
        <v>1.78E-2</v>
      </c>
      <c r="C21">
        <f t="shared" si="2"/>
        <v>0.44499999999999995</v>
      </c>
      <c r="E21">
        <f t="shared" si="3"/>
        <v>1.4999999999999958E-2</v>
      </c>
    </row>
    <row r="22" spans="1:5">
      <c r="A22">
        <v>250</v>
      </c>
      <c r="B22">
        <v>0.02</v>
      </c>
      <c r="C22">
        <f t="shared" si="2"/>
        <v>0.5</v>
      </c>
      <c r="E22">
        <f t="shared" si="3"/>
        <v>2.5000000000000022E-2</v>
      </c>
    </row>
    <row r="23" spans="1:5">
      <c r="A23">
        <v>400</v>
      </c>
      <c r="B23">
        <v>2.3E-2</v>
      </c>
      <c r="C23">
        <f t="shared" si="2"/>
        <v>0.57499999999999996</v>
      </c>
      <c r="E23">
        <f t="shared" si="3"/>
        <v>7.4999999999999956E-2</v>
      </c>
    </row>
    <row r="24" spans="1:5">
      <c r="A24">
        <v>1000</v>
      </c>
      <c r="B24">
        <v>3.5999999999999997E-2</v>
      </c>
      <c r="C24">
        <f t="shared" si="2"/>
        <v>0.9</v>
      </c>
      <c r="E24">
        <f t="shared" si="3"/>
        <v>0.17499999999999993</v>
      </c>
    </row>
    <row r="27" spans="1:5">
      <c r="A27" t="s">
        <v>1</v>
      </c>
      <c r="B27">
        <v>9.5</v>
      </c>
      <c r="C27" t="s">
        <v>8</v>
      </c>
      <c r="D27">
        <f>PI()/4*C4^2*B27</f>
        <v>19.581389930192504</v>
      </c>
      <c r="E27" t="s">
        <v>12</v>
      </c>
    </row>
    <row r="28" spans="1:5">
      <c r="B28">
        <v>10.244</v>
      </c>
      <c r="C28" t="s">
        <v>9</v>
      </c>
      <c r="D28">
        <f>B28/D27</f>
        <v>0.52314978847363625</v>
      </c>
      <c r="E28" t="s">
        <v>11</v>
      </c>
    </row>
    <row r="30" spans="1:5">
      <c r="A30" t="s">
        <v>5</v>
      </c>
      <c r="B30" t="s">
        <v>2</v>
      </c>
      <c r="C30" t="s">
        <v>3</v>
      </c>
      <c r="E30" t="s">
        <v>6</v>
      </c>
    </row>
    <row r="31" spans="1:5">
      <c r="A31">
        <v>0</v>
      </c>
      <c r="B31">
        <v>1.6299999999999999E-2</v>
      </c>
      <c r="C31">
        <f t="shared" ref="C31:C37" si="4">B31/$B$2*$C$2</f>
        <v>0.40749999999999997</v>
      </c>
      <c r="E31">
        <f t="shared" ref="E31:E37" si="5">C31-C6</f>
        <v>7.4999999999999512E-3</v>
      </c>
    </row>
    <row r="32" spans="1:5">
      <c r="A32">
        <v>20</v>
      </c>
      <c r="B32">
        <v>1.66E-2</v>
      </c>
      <c r="C32">
        <f t="shared" si="4"/>
        <v>0.41499999999999998</v>
      </c>
      <c r="E32">
        <f t="shared" si="5"/>
        <v>4.9999999999999489E-3</v>
      </c>
    </row>
    <row r="33" spans="1:5">
      <c r="A33">
        <v>50</v>
      </c>
      <c r="B33">
        <v>1.72E-2</v>
      </c>
      <c r="C33">
        <f t="shared" si="4"/>
        <v>0.43</v>
      </c>
      <c r="E33">
        <f t="shared" si="5"/>
        <v>1.2499999999999956E-2</v>
      </c>
    </row>
    <row r="34" spans="1:5">
      <c r="A34">
        <v>100</v>
      </c>
      <c r="B34">
        <v>1.8200000000000001E-2</v>
      </c>
      <c r="C34">
        <f t="shared" si="4"/>
        <v>0.45500000000000002</v>
      </c>
      <c r="E34">
        <f t="shared" si="5"/>
        <v>2.5000000000000022E-2</v>
      </c>
    </row>
    <row r="35" spans="1:5">
      <c r="A35">
        <v>250</v>
      </c>
      <c r="B35">
        <v>2.1000000000000001E-2</v>
      </c>
      <c r="C35">
        <f t="shared" si="4"/>
        <v>0.52500000000000002</v>
      </c>
      <c r="E35">
        <f t="shared" si="5"/>
        <v>5.0000000000000044E-2</v>
      </c>
    </row>
    <row r="36" spans="1:5">
      <c r="A36">
        <v>400</v>
      </c>
      <c r="B36">
        <v>2.3800000000000002E-2</v>
      </c>
      <c r="C36">
        <f t="shared" si="4"/>
        <v>0.59500000000000008</v>
      </c>
      <c r="E36">
        <f t="shared" si="5"/>
        <v>9.5000000000000084E-2</v>
      </c>
    </row>
    <row r="37" spans="1:5">
      <c r="A37">
        <v>1000</v>
      </c>
      <c r="B37">
        <v>3.7999999999999999E-2</v>
      </c>
      <c r="C37">
        <f t="shared" si="4"/>
        <v>0.95</v>
      </c>
      <c r="E37">
        <f t="shared" si="5"/>
        <v>0.22499999999999987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7EE2-4BBC-498E-A7E7-74F371DBFFAE}">
  <dimension ref="A1:K39"/>
  <sheetViews>
    <sheetView tabSelected="1" topLeftCell="A10" workbookViewId="0">
      <selection activeCell="G44" sqref="G44"/>
    </sheetView>
  </sheetViews>
  <sheetFormatPr baseColWidth="10" defaultRowHeight="15"/>
  <cols>
    <col min="1" max="1" width="17.5703125" customWidth="1"/>
  </cols>
  <sheetData>
    <row r="1" spans="1:11">
      <c r="B1" t="s">
        <v>2</v>
      </c>
      <c r="C1" t="s">
        <v>3</v>
      </c>
      <c r="E1" t="s">
        <v>7</v>
      </c>
      <c r="F1">
        <v>1.5</v>
      </c>
    </row>
    <row r="2" spans="1:11">
      <c r="B2">
        <v>10</v>
      </c>
      <c r="C2">
        <v>250</v>
      </c>
      <c r="E2" t="s">
        <v>13</v>
      </c>
      <c r="F2">
        <v>0.38</v>
      </c>
    </row>
    <row r="4" spans="1:11">
      <c r="A4" t="s">
        <v>4</v>
      </c>
    </row>
    <row r="5" spans="1:11">
      <c r="A5" t="s">
        <v>5</v>
      </c>
      <c r="B5" t="s">
        <v>2</v>
      </c>
      <c r="C5" t="s">
        <v>3</v>
      </c>
      <c r="E5" t="s">
        <v>6</v>
      </c>
      <c r="G5" t="s">
        <v>4</v>
      </c>
    </row>
    <row r="6" spans="1:11">
      <c r="A6">
        <v>0</v>
      </c>
      <c r="B6">
        <v>1.7999999999999999E-2</v>
      </c>
      <c r="C6">
        <f>B6/$B$2*$C$2</f>
        <v>0.45</v>
      </c>
      <c r="E6">
        <f>C6-$C$6</f>
        <v>0</v>
      </c>
      <c r="G6" t="s">
        <v>5</v>
      </c>
      <c r="H6" t="s">
        <v>2</v>
      </c>
      <c r="I6" t="s">
        <v>3</v>
      </c>
      <c r="K6" t="s">
        <v>6</v>
      </c>
    </row>
    <row r="7" spans="1:11">
      <c r="A7">
        <v>600</v>
      </c>
      <c r="B7">
        <v>2.1999999999999999E-2</v>
      </c>
      <c r="C7">
        <f t="shared" ref="C6:C12" si="0">B7/$B$2*$C$2</f>
        <v>0.54999999999999993</v>
      </c>
      <c r="E7">
        <f t="shared" ref="E6:E13" si="1">C7-$C$6</f>
        <v>9.9999999999999922E-2</v>
      </c>
      <c r="G7">
        <v>0</v>
      </c>
      <c r="H7" s="2">
        <v>1.7000000000000001E-2</v>
      </c>
      <c r="I7">
        <f>H7/$B$2*$C$2</f>
        <v>0.42500000000000004</v>
      </c>
      <c r="K7">
        <f>I7-$I$7</f>
        <v>0</v>
      </c>
    </row>
    <row r="8" spans="1:11">
      <c r="A8">
        <v>1000</v>
      </c>
      <c r="B8">
        <v>2.5000000000000001E-2</v>
      </c>
      <c r="C8">
        <f t="shared" si="0"/>
        <v>0.625</v>
      </c>
      <c r="E8">
        <f t="shared" si="1"/>
        <v>0.17499999999999999</v>
      </c>
      <c r="G8">
        <v>600</v>
      </c>
      <c r="H8" s="2">
        <v>1.8200000000000001E-2</v>
      </c>
      <c r="I8">
        <f t="shared" ref="I8:I14" si="2">H8/$B$2*$C$2</f>
        <v>0.45500000000000002</v>
      </c>
      <c r="K8">
        <f t="shared" ref="K8:K14" si="3">I8-$I$7</f>
        <v>2.9999999999999971E-2</v>
      </c>
    </row>
    <row r="9" spans="1:11">
      <c r="A9">
        <v>2000</v>
      </c>
      <c r="B9">
        <v>3.4000000000000002E-2</v>
      </c>
      <c r="C9">
        <f t="shared" si="0"/>
        <v>0.85000000000000009</v>
      </c>
      <c r="E9">
        <f t="shared" si="1"/>
        <v>0.40000000000000008</v>
      </c>
      <c r="G9">
        <v>1000</v>
      </c>
      <c r="H9" s="2">
        <v>1.8700000000000001E-2</v>
      </c>
      <c r="I9">
        <f t="shared" si="2"/>
        <v>0.46750000000000003</v>
      </c>
      <c r="K9">
        <f t="shared" si="3"/>
        <v>4.2499999999999982E-2</v>
      </c>
    </row>
    <row r="10" spans="1:11">
      <c r="A10">
        <v>5000</v>
      </c>
      <c r="B10">
        <v>6.4000000000000001E-2</v>
      </c>
      <c r="C10">
        <f t="shared" si="0"/>
        <v>1.6</v>
      </c>
      <c r="D10" s="1"/>
      <c r="E10">
        <f t="shared" si="1"/>
        <v>1.1500000000000001</v>
      </c>
      <c r="G10">
        <v>2000</v>
      </c>
      <c r="H10" s="2">
        <v>2.1000000000000001E-2</v>
      </c>
      <c r="I10">
        <f t="shared" si="2"/>
        <v>0.52500000000000002</v>
      </c>
      <c r="K10">
        <f t="shared" si="3"/>
        <v>9.9999999999999978E-2</v>
      </c>
    </row>
    <row r="11" spans="1:11">
      <c r="A11">
        <v>10000</v>
      </c>
      <c r="B11">
        <v>0.14199999999999999</v>
      </c>
      <c r="C11">
        <f t="shared" si="0"/>
        <v>3.55</v>
      </c>
      <c r="D11" s="1"/>
      <c r="E11">
        <f t="shared" si="1"/>
        <v>3.0999999999999996</v>
      </c>
      <c r="G11">
        <v>5000</v>
      </c>
      <c r="H11" s="2">
        <v>3.5999999999999997E-2</v>
      </c>
      <c r="I11">
        <f t="shared" si="2"/>
        <v>0.9</v>
      </c>
      <c r="K11">
        <f t="shared" si="3"/>
        <v>0.47499999999999998</v>
      </c>
    </row>
    <row r="12" spans="1:11">
      <c r="A12">
        <v>20000</v>
      </c>
      <c r="B12">
        <v>0.39400000000000002</v>
      </c>
      <c r="C12">
        <f t="shared" si="0"/>
        <v>9.8500000000000014</v>
      </c>
      <c r="E12">
        <f t="shared" si="1"/>
        <v>9.4000000000000021</v>
      </c>
      <c r="G12">
        <v>10000</v>
      </c>
      <c r="H12" s="2">
        <v>7.1999999999999995E-2</v>
      </c>
      <c r="I12">
        <f t="shared" si="2"/>
        <v>1.8</v>
      </c>
      <c r="K12">
        <f t="shared" si="3"/>
        <v>1.375</v>
      </c>
    </row>
    <row r="13" spans="1:11">
      <c r="A13">
        <v>30000</v>
      </c>
      <c r="B13">
        <v>0.73499999999999999</v>
      </c>
      <c r="C13">
        <f>B13/$B$2*$C$2</f>
        <v>18.375</v>
      </c>
      <c r="E13">
        <f t="shared" si="1"/>
        <v>17.925000000000001</v>
      </c>
      <c r="G13">
        <v>20000</v>
      </c>
      <c r="H13" s="2">
        <v>0.19500000000000001</v>
      </c>
      <c r="I13">
        <f t="shared" si="2"/>
        <v>4.875</v>
      </c>
      <c r="K13">
        <f t="shared" si="3"/>
        <v>4.45</v>
      </c>
    </row>
    <row r="14" spans="1:11">
      <c r="G14">
        <v>30000</v>
      </c>
      <c r="H14" s="2">
        <v>0.36299999999999999</v>
      </c>
      <c r="I14">
        <f t="shared" si="2"/>
        <v>9.0749999999999993</v>
      </c>
      <c r="K14">
        <f t="shared" si="3"/>
        <v>8.6499999999999986</v>
      </c>
    </row>
    <row r="16" spans="1:11">
      <c r="A16" t="s">
        <v>14</v>
      </c>
      <c r="B16">
        <v>10</v>
      </c>
      <c r="C16" t="s">
        <v>8</v>
      </c>
      <c r="D16">
        <f>(PI()/4*F1^2-PI()/4*F2^2)*B16</f>
        <v>16.537343728496673</v>
      </c>
      <c r="E16" t="s">
        <v>12</v>
      </c>
      <c r="G16" t="s">
        <v>0</v>
      </c>
      <c r="H16">
        <v>10</v>
      </c>
      <c r="I16" t="s">
        <v>8</v>
      </c>
      <c r="J16">
        <f>(PI()/4*F1^2-PI()/4*F2^2)*H16</f>
        <v>16.537343728496673</v>
      </c>
      <c r="K16" t="s">
        <v>12</v>
      </c>
    </row>
    <row r="18" spans="1:11">
      <c r="A18" t="s">
        <v>5</v>
      </c>
      <c r="B18" t="s">
        <v>2</v>
      </c>
      <c r="C18" t="s">
        <v>3</v>
      </c>
      <c r="E18" t="s">
        <v>6</v>
      </c>
      <c r="G18" t="s">
        <v>5</v>
      </c>
      <c r="H18" t="s">
        <v>2</v>
      </c>
      <c r="I18" t="s">
        <v>3</v>
      </c>
      <c r="K18" t="s">
        <v>6</v>
      </c>
    </row>
    <row r="19" spans="1:11">
      <c r="A19">
        <v>0</v>
      </c>
      <c r="B19">
        <v>1.7999999999999999E-2</v>
      </c>
      <c r="C19">
        <f t="shared" ref="C19:C26" si="4">B19/$B$2*$C$2</f>
        <v>0.45</v>
      </c>
      <c r="E19">
        <f t="shared" ref="E19:E26" si="5">C19-C6</f>
        <v>0</v>
      </c>
      <c r="G19">
        <v>0</v>
      </c>
      <c r="H19" s="2">
        <v>1.7000000000000001E-2</v>
      </c>
      <c r="I19">
        <f t="shared" ref="I19:I26" si="6">H19/$B$2*$C$2</f>
        <v>0.42500000000000004</v>
      </c>
      <c r="K19">
        <f>I19-I7</f>
        <v>0</v>
      </c>
    </row>
    <row r="20" spans="1:11">
      <c r="A20">
        <v>600</v>
      </c>
      <c r="B20">
        <v>3.9E-2</v>
      </c>
      <c r="C20">
        <f t="shared" si="4"/>
        <v>0.97499999999999998</v>
      </c>
      <c r="E20">
        <f t="shared" si="5"/>
        <v>0.42500000000000004</v>
      </c>
      <c r="G20">
        <v>600</v>
      </c>
      <c r="H20" s="2">
        <v>2.1999999999999999E-2</v>
      </c>
      <c r="I20">
        <f t="shared" si="6"/>
        <v>0.54999999999999993</v>
      </c>
      <c r="K20">
        <f t="shared" ref="K20:K26" si="7">I20-I8</f>
        <v>9.4999999999999918E-2</v>
      </c>
    </row>
    <row r="21" spans="1:11">
      <c r="A21">
        <v>1000</v>
      </c>
      <c r="B21">
        <v>5.3999999999999999E-2</v>
      </c>
      <c r="C21">
        <f t="shared" si="4"/>
        <v>1.35</v>
      </c>
      <c r="E21">
        <f t="shared" si="5"/>
        <v>0.72500000000000009</v>
      </c>
      <c r="G21">
        <v>1000</v>
      </c>
      <c r="H21" s="2">
        <v>0.03</v>
      </c>
      <c r="I21">
        <f t="shared" si="6"/>
        <v>0.75</v>
      </c>
      <c r="K21">
        <f t="shared" si="7"/>
        <v>0.28249999999999997</v>
      </c>
    </row>
    <row r="22" spans="1:11">
      <c r="A22">
        <v>2000</v>
      </c>
      <c r="B22">
        <v>9.7000000000000003E-2</v>
      </c>
      <c r="C22">
        <f t="shared" si="4"/>
        <v>2.4250000000000003</v>
      </c>
      <c r="E22">
        <f t="shared" si="5"/>
        <v>1.5750000000000002</v>
      </c>
      <c r="G22">
        <v>2000</v>
      </c>
      <c r="H22" s="2">
        <v>5.6000000000000001E-2</v>
      </c>
      <c r="I22">
        <f t="shared" si="6"/>
        <v>1.4</v>
      </c>
      <c r="K22">
        <f t="shared" si="7"/>
        <v>0.87499999999999989</v>
      </c>
    </row>
    <row r="23" spans="1:11">
      <c r="A23">
        <v>5000</v>
      </c>
      <c r="B23">
        <v>0.27600000000000002</v>
      </c>
      <c r="C23">
        <f t="shared" si="4"/>
        <v>6.9</v>
      </c>
      <c r="E23">
        <f t="shared" si="5"/>
        <v>5.3000000000000007</v>
      </c>
      <c r="G23">
        <v>5000</v>
      </c>
      <c r="H23" s="2">
        <v>0.17100000000000001</v>
      </c>
      <c r="I23">
        <f t="shared" si="6"/>
        <v>4.2750000000000004</v>
      </c>
      <c r="K23">
        <f t="shared" si="7"/>
        <v>3.3750000000000004</v>
      </c>
    </row>
    <row r="24" spans="1:11">
      <c r="A24">
        <v>10000</v>
      </c>
      <c r="B24">
        <v>0.79700000000000004</v>
      </c>
      <c r="C24">
        <f t="shared" si="4"/>
        <v>19.925000000000001</v>
      </c>
      <c r="E24">
        <f t="shared" si="5"/>
        <v>16.375</v>
      </c>
      <c r="G24">
        <v>10000</v>
      </c>
      <c r="H24" s="2">
        <v>0.48499999999999999</v>
      </c>
      <c r="I24">
        <f t="shared" si="6"/>
        <v>12.125</v>
      </c>
      <c r="K24">
        <f t="shared" si="7"/>
        <v>10.324999999999999</v>
      </c>
    </row>
    <row r="25" spans="1:11">
      <c r="A25">
        <v>20000</v>
      </c>
      <c r="B25">
        <v>2.73</v>
      </c>
      <c r="C25">
        <f t="shared" si="4"/>
        <v>68.25</v>
      </c>
      <c r="E25">
        <f t="shared" si="5"/>
        <v>58.4</v>
      </c>
      <c r="G25">
        <v>20000</v>
      </c>
      <c r="H25" s="2">
        <v>1.5029999999999999</v>
      </c>
      <c r="I25">
        <f t="shared" si="6"/>
        <v>37.574999999999996</v>
      </c>
      <c r="K25">
        <f t="shared" si="7"/>
        <v>32.699999999999996</v>
      </c>
    </row>
    <row r="26" spans="1:11">
      <c r="A26">
        <v>30000</v>
      </c>
      <c r="B26">
        <v>5.38</v>
      </c>
      <c r="C26">
        <f t="shared" si="4"/>
        <v>134.5</v>
      </c>
      <c r="E26">
        <f t="shared" si="5"/>
        <v>116.125</v>
      </c>
      <c r="G26">
        <v>30000</v>
      </c>
      <c r="H26" s="2">
        <v>2.8</v>
      </c>
      <c r="I26">
        <f t="shared" si="6"/>
        <v>69.999999999999986</v>
      </c>
      <c r="K26">
        <f t="shared" si="7"/>
        <v>60.924999999999983</v>
      </c>
    </row>
    <row r="29" spans="1:11">
      <c r="A29" t="s">
        <v>14</v>
      </c>
      <c r="B29">
        <v>30</v>
      </c>
      <c r="C29" t="s">
        <v>8</v>
      </c>
      <c r="D29">
        <f>(PI()/4*F1^2-PI()/4*F2^2)*B29</f>
        <v>49.612031185490018</v>
      </c>
      <c r="E29" t="s">
        <v>12</v>
      </c>
      <c r="G29" t="s">
        <v>0</v>
      </c>
      <c r="H29">
        <v>30</v>
      </c>
      <c r="I29" t="s">
        <v>8</v>
      </c>
      <c r="J29">
        <f>(PI()/4*F1^2-PI()/4*F2^2)*H29</f>
        <v>49.612031185490018</v>
      </c>
      <c r="K29" t="s">
        <v>12</v>
      </c>
    </row>
    <row r="31" spans="1:11">
      <c r="A31" t="s">
        <v>5</v>
      </c>
      <c r="B31" t="s">
        <v>2</v>
      </c>
      <c r="C31" t="s">
        <v>3</v>
      </c>
      <c r="E31" t="s">
        <v>6</v>
      </c>
      <c r="G31" t="s">
        <v>5</v>
      </c>
      <c r="H31" t="s">
        <v>2</v>
      </c>
      <c r="I31" t="s">
        <v>3</v>
      </c>
      <c r="K31" t="s">
        <v>6</v>
      </c>
    </row>
    <row r="32" spans="1:11">
      <c r="A32">
        <v>0</v>
      </c>
      <c r="B32">
        <v>1.7999999999999999E-2</v>
      </c>
      <c r="C32">
        <f>B32/$B$2*$C$2</f>
        <v>0.45</v>
      </c>
      <c r="E32">
        <f>C32-C6</f>
        <v>0</v>
      </c>
      <c r="G32">
        <v>0</v>
      </c>
      <c r="H32" s="2">
        <v>1.7000000000000001E-2</v>
      </c>
      <c r="I32">
        <f>H32/$B$2*$C$2</f>
        <v>0.42500000000000004</v>
      </c>
      <c r="K32">
        <f>I32-I7</f>
        <v>0</v>
      </c>
    </row>
    <row r="33" spans="1:11">
      <c r="A33">
        <v>600</v>
      </c>
      <c r="B33">
        <v>3.7999999999999999E-2</v>
      </c>
      <c r="C33">
        <f t="shared" ref="C33:C39" si="8">B33/$B$2*$C$2</f>
        <v>0.95</v>
      </c>
      <c r="E33">
        <f t="shared" ref="E33:E39" si="9">C33-C7</f>
        <v>0.4</v>
      </c>
      <c r="G33">
        <v>600</v>
      </c>
      <c r="H33" s="2">
        <v>3.3000000000000002E-2</v>
      </c>
      <c r="I33">
        <f t="shared" ref="I32:I39" si="10">H33/$B$2*$C$2</f>
        <v>0.82499999999999996</v>
      </c>
      <c r="K33">
        <f t="shared" ref="K33:K39" si="11">I33-I8</f>
        <v>0.36999999999999994</v>
      </c>
    </row>
    <row r="34" spans="1:11">
      <c r="A34">
        <v>1000</v>
      </c>
      <c r="B34">
        <v>5.6000000000000001E-2</v>
      </c>
      <c r="C34">
        <f t="shared" si="8"/>
        <v>1.4</v>
      </c>
      <c r="E34">
        <f t="shared" si="9"/>
        <v>0.77499999999999991</v>
      </c>
      <c r="G34">
        <v>1000</v>
      </c>
      <c r="H34" s="2">
        <v>4.7E-2</v>
      </c>
      <c r="I34">
        <f t="shared" si="10"/>
        <v>1.175</v>
      </c>
      <c r="K34">
        <f t="shared" si="11"/>
        <v>0.70750000000000002</v>
      </c>
    </row>
    <row r="35" spans="1:11">
      <c r="A35">
        <v>2000</v>
      </c>
      <c r="B35">
        <v>0.114</v>
      </c>
      <c r="C35">
        <f t="shared" si="8"/>
        <v>2.85</v>
      </c>
      <c r="E35">
        <f t="shared" si="9"/>
        <v>2</v>
      </c>
      <c r="G35">
        <v>2000</v>
      </c>
      <c r="H35" s="2">
        <v>9.4E-2</v>
      </c>
      <c r="I35">
        <f t="shared" si="10"/>
        <v>2.35</v>
      </c>
      <c r="K35">
        <f t="shared" si="11"/>
        <v>1.8250000000000002</v>
      </c>
    </row>
    <row r="36" spans="1:11">
      <c r="A36">
        <v>5000</v>
      </c>
      <c r="B36">
        <v>0.378</v>
      </c>
      <c r="C36">
        <f t="shared" si="8"/>
        <v>9.4499999999999993</v>
      </c>
      <c r="E36">
        <f t="shared" si="9"/>
        <v>7.85</v>
      </c>
      <c r="G36">
        <v>5000</v>
      </c>
      <c r="H36" s="2">
        <v>0.315</v>
      </c>
      <c r="I36">
        <f t="shared" si="10"/>
        <v>7.875</v>
      </c>
      <c r="K36">
        <f t="shared" si="11"/>
        <v>6.9749999999999996</v>
      </c>
    </row>
    <row r="37" spans="1:11">
      <c r="A37">
        <v>10000</v>
      </c>
      <c r="B37">
        <v>1.1000000000000001</v>
      </c>
      <c r="C37">
        <f t="shared" si="8"/>
        <v>27.500000000000004</v>
      </c>
      <c r="E37">
        <f t="shared" si="9"/>
        <v>23.950000000000003</v>
      </c>
      <c r="G37">
        <v>10000</v>
      </c>
      <c r="H37" s="2">
        <v>0.91900000000000004</v>
      </c>
      <c r="I37">
        <f t="shared" si="10"/>
        <v>22.975000000000001</v>
      </c>
      <c r="K37">
        <f t="shared" si="11"/>
        <v>21.175000000000001</v>
      </c>
    </row>
    <row r="38" spans="1:11">
      <c r="A38">
        <v>20000</v>
      </c>
      <c r="B38">
        <v>3.4</v>
      </c>
      <c r="C38">
        <f t="shared" si="8"/>
        <v>84.999999999999986</v>
      </c>
      <c r="E38">
        <f t="shared" si="9"/>
        <v>75.149999999999977</v>
      </c>
      <c r="G38">
        <v>20000</v>
      </c>
      <c r="H38" s="2">
        <v>2.88</v>
      </c>
      <c r="I38">
        <f t="shared" si="10"/>
        <v>72</v>
      </c>
      <c r="K38">
        <f t="shared" si="11"/>
        <v>67.125</v>
      </c>
    </row>
    <row r="39" spans="1:11">
      <c r="A39">
        <v>30000</v>
      </c>
      <c r="B39">
        <v>6.31</v>
      </c>
      <c r="C39">
        <f t="shared" si="8"/>
        <v>157.75</v>
      </c>
      <c r="E39">
        <f t="shared" si="9"/>
        <v>139.375</v>
      </c>
      <c r="G39">
        <v>30000</v>
      </c>
      <c r="H39" s="2">
        <v>5.4</v>
      </c>
      <c r="I39">
        <f t="shared" si="10"/>
        <v>135</v>
      </c>
      <c r="K39">
        <f t="shared" si="11"/>
        <v>125.925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Pressure loss</vt:lpstr>
      <vt:lpstr>Pressure loss_highflow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Mettke, Judith</dc:creator>
  <cp:lastModifiedBy>Mettke, Judith</cp:lastModifiedBy>
  <dcterms:created xsi:type="dcterms:W3CDTF">2025-04-09T09:06:11Z</dcterms:created>
  <dcterms:modified xsi:type="dcterms:W3CDTF">2025-07-03T14:24:47Z</dcterms:modified>
</cp:coreProperties>
</file>